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Unit Economics" sheetId="3" state="visible" r:id="rId5"/>
    <sheet name="36-Month Ramp" sheetId="4" state="visible" r:id="rId6"/>
    <sheet name="Sensitivity" sheetId="5" state="visible" r:id="rId7"/>
    <sheet name="Rollout" sheetId="6" state="visible" r:id="rId8"/>
    <sheet name="Sources &amp; 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<sst xmlns="http://schemas.openxmlformats.org/spreadsheetml/2006/main" count="267" uniqueCount="220">
  <si>
    <t xml:space="preserve">Off Hours: Unit Economics Model</t>
  </si>
  <si>
    <t xml:space="preserve">A first-pass model for one Boston location plus a multi-location rollout. Every number is editable.</t>
  </si>
  <si>
    <t xml:space="preserve">How to use</t>
  </si>
  <si>
    <t xml:space="preserve">1. Change only the blue numbers on the Inputs tab. Yellow cells are the assumptions that move the result most.</t>
  </si>
  <si>
    <t xml:space="preserve">B2B: set the share of members paid by employers (teams, clinics, hospitals) on Inputs. Employer seats are cheaper but used less, which lowers massage and coffee costs.</t>
  </si>
  <si>
    <t xml:space="preserve">2. Unit Economics shows one location at steady state: monthly P&amp;L, break-even members, and capacity checks.</t>
  </si>
  <si>
    <t xml:space="preserve">3. 36-Month Ramp shows the first location month by month, from opening day to payback.</t>
  </si>
  <si>
    <t xml:space="preserve">4. Sensitivity shows monthly profit across price, member count, and included massage minutes.</t>
  </si>
  <si>
    <t xml:space="preserve">5. Rollout shows the company view (many locations + HQ costs) and how much capital you would need to raise.</t>
  </si>
  <si>
    <t xml:space="preserve">Color legend</t>
  </si>
  <si>
    <t xml:space="preserve">Blue text = input you can change</t>
  </si>
  <si>
    <t xml:space="preserve">Black text = formula (do not type over)</t>
  </si>
  <si>
    <t xml:space="preserve">Green text = pulled from another tab</t>
  </si>
  <si>
    <t xml:space="preserve">Yellow fill = key assumption</t>
  </si>
  <si>
    <t xml:space="preserve">Important caveats</t>
  </si>
  <si>
    <t xml:space="preserve">These are planning assumptions, not quotes. Replace them with real numbers as you get them (broker rent quotes, therapist pay offers, contractor bids).</t>
  </si>
  <si>
    <t xml:space="preserve">Massachusetts treats most workers as employees (ABC test). The model assumes massage therapists are W-2 part-time employees. Confirm with a MA employment lawyer.</t>
  </si>
  <si>
    <t xml:space="preserve">A massage establishment license from the MA Board of Registration of Massage Therapy is assumed. See Sources &amp; Notes.</t>
  </si>
  <si>
    <t xml:space="preserve">Inputs (edit blue cells)</t>
  </si>
  <si>
    <t xml:space="preserve">Input</t>
  </si>
  <si>
    <t xml:space="preserve">Value</t>
  </si>
  <si>
    <t xml:space="preserve">Source / note</t>
  </si>
  <si>
    <t xml:space="preserve">Pricing and members</t>
  </si>
  <si>
    <t xml:space="preserve">Monthly membership price</t>
  </si>
  <si>
    <t xml:space="preserve">From you: $150/month</t>
  </si>
  <si>
    <t xml:space="preserve">Add-on revenue per member per month</t>
  </si>
  <si>
    <t xml:space="preserve">Assumption: extra or longer massages, guest passes, retail tea. Not on the site yet</t>
  </si>
  <si>
    <t xml:space="preserve">Card processing fees (% of revenue)</t>
  </si>
  <si>
    <t xml:space="preserve">Assumption: typical Stripe/Square rate</t>
  </si>
  <si>
    <t xml:space="preserve">Steady-state members per location</t>
  </si>
  <si>
    <t xml:space="preserve">Assumption. The single most important number in the model</t>
  </si>
  <si>
    <t xml:space="preserve">Members on opening day</t>
  </si>
  <si>
    <t xml:space="preserve">From the site: first 100 on the list get founding status</t>
  </si>
  <si>
    <t xml:space="preserve">New members joining per month (during ramp)</t>
  </si>
  <si>
    <t xml:space="preserve">Assumption</t>
  </si>
  <si>
    <t xml:space="preserve">Monthly member churn</t>
  </si>
  <si>
    <t xml:space="preserve">Assumption: boutique fitness memberships commonly lose 3 to 5% a month</t>
  </si>
  <si>
    <t xml:space="preserve">B2B: teams and healthcare (employer-paid seats)</t>
  </si>
  <si>
    <t xml:space="preserve">Share of members paid for by an employer</t>
  </si>
  <si>
    <t xml:space="preserve">Assumption. 0% = consumer only. Employers sign annual contracts for seats</t>
  </si>
  <si>
    <t xml:space="preserve">Employer seat price per month</t>
  </si>
  <si>
    <t xml:space="preserve">Assumption: volume discount off the $150 consumer price</t>
  </si>
  <si>
    <t xml:space="preserve">Employer seat usage vs a self-paying member</t>
  </si>
  <si>
    <t xml:space="preserve">Assumption. Employer-paid perks are used less: a UK study found ~24% of corporate gym memberships never used (4global DataHub, 2018)</t>
  </si>
  <si>
    <t xml:space="preserve">Employer seat churn per month</t>
  </si>
  <si>
    <t xml:space="preserve">Assumption: annual contracts churn far less than individual members</t>
  </si>
  <si>
    <t xml:space="preserve">B2B sales cost (% of employer revenue)</t>
  </si>
  <si>
    <t xml:space="preserve">Assumption: commission for a salesperson, broker, or benefits platform fee</t>
  </si>
  <si>
    <t xml:space="preserve">Member usage</t>
  </si>
  <si>
    <t xml:space="preserve">Lounge visits per member per month</t>
  </si>
  <si>
    <t xml:space="preserve">Assumption. Daily is the brand promise, but most members will come 1 to 2x a week</t>
  </si>
  <si>
    <t xml:space="preserve">Average stay (hours)</t>
  </si>
  <si>
    <t xml:space="preserve">Peak-hour factor (busiest hour vs average hour)</t>
  </si>
  <si>
    <t xml:space="preserve">Assumption: lunch and after-work rush</t>
  </si>
  <si>
    <t xml:space="preserve">Open hours per day</t>
  </si>
  <si>
    <t xml:space="preserve">Assumption: 7am to 9pm</t>
  </si>
  <si>
    <t xml:space="preserve">Open days per month</t>
  </si>
  <si>
    <t xml:space="preserve">Assumption: 7 days a week</t>
  </si>
  <si>
    <t xml:space="preserve">Massage minutes included per member per month</t>
  </si>
  <si>
    <t xml:space="preserve">From the site: four 15-minute massages</t>
  </si>
  <si>
    <t xml:space="preserve">Share of included massage minutes actually used</t>
  </si>
  <si>
    <t xml:space="preserve">Assumption: not everyone uses all four</t>
  </si>
  <si>
    <t xml:space="preserve">Drinks per visit</t>
  </si>
  <si>
    <t xml:space="preserve">Cost per drink (beans, milk, tea, cup)</t>
  </si>
  <si>
    <t xml:space="preserve">Consumables per visit (linens, oils, snacks)</t>
  </si>
  <si>
    <t xml:space="preserve">Massage staffing</t>
  </si>
  <si>
    <t xml:space="preserve">Therapist hourly pay</t>
  </si>
  <si>
    <t xml:space="preserve">Boston-area median is $36.13/hr (BLS, May 2025, via WageDex). Set slightly above to recruit good people</t>
  </si>
  <si>
    <t xml:space="preserve">Payroll taxes and benefits (% of pay)</t>
  </si>
  <si>
    <t xml:space="preserve">Assumption for part-time W-2 staff in MA (FICA, unemployment, PFML, workers comp)</t>
  </si>
  <si>
    <t xml:space="preserve">Therapist utilization (booked hours / paid hours)</t>
  </si>
  <si>
    <t xml:space="preserve">Assumption: gaps between bookings and no-shows are paid time</t>
  </si>
  <si>
    <t xml:space="preserve">Paid hours per therapist per month</t>
  </si>
  <si>
    <t xml:space="preserve">Assumption: part-time, about 20 hours a week</t>
  </si>
  <si>
    <t xml:space="preserve">Massage rooms</t>
  </si>
  <si>
    <t xml:space="preserve">Target room occupancy</t>
  </si>
  <si>
    <t xml:space="preserve">Space</t>
  </si>
  <si>
    <t xml:space="preserve">Square feet</t>
  </si>
  <si>
    <t xml:space="preserve">Rent per sq ft per year (all-in)</t>
  </si>
  <si>
    <t xml:space="preserve">Assumption for upper-floor or landlord-partner space. Ground-floor retail: Back Bay $125 to $225, Seaport $85 to $150 (Banker &amp; Tradesman)</t>
  </si>
  <si>
    <t xml:space="preserve">Rent structure (1 = fixed lease, 2 = revenue share)</t>
  </si>
  <si>
    <t xml:space="preserve">Switch to 2 to model a Fabrik/Industrious-style landlord partnership</t>
  </si>
  <si>
    <t xml:space="preserve">Landlord revenue share (% of revenue, if structure = 2)</t>
  </si>
  <si>
    <t xml:space="preserve">Lounge seats</t>
  </si>
  <si>
    <t xml:space="preserve">Front of house and programming</t>
  </si>
  <si>
    <t xml:space="preserve">General manager salary (per year)</t>
  </si>
  <si>
    <t xml:space="preserve">Host / front desk hourly pay</t>
  </si>
  <si>
    <t xml:space="preserve">Hosts on shift (average across open hours)</t>
  </si>
  <si>
    <t xml:space="preserve">Ritual sessions per month (sound baths, stretching)</t>
  </si>
  <si>
    <t xml:space="preserve">Assumption: about one a day</t>
  </si>
  <si>
    <t xml:space="preserve">Cost per ritual session (contracted facilitator)</t>
  </si>
  <si>
    <t xml:space="preserve">Other monthly operating costs</t>
  </si>
  <si>
    <t xml:space="preserve">Utilities and internet</t>
  </si>
  <si>
    <t xml:space="preserve">Cleaning and laundry</t>
  </si>
  <si>
    <t xml:space="preserve">Insurance (liability, professional, property)</t>
  </si>
  <si>
    <t xml:space="preserve">Software (booking, payments, door access)</t>
  </si>
  <si>
    <t xml:space="preserve">Local marketing</t>
  </si>
  <si>
    <t xml:space="preserve">Repairs and maintenance</t>
  </si>
  <si>
    <t xml:space="preserve">Licenses, supplies, misc</t>
  </si>
  <si>
    <t xml:space="preserve">Opening costs (one-time)</t>
  </si>
  <si>
    <t xml:space="preserve">Buildout cost per sq ft</t>
  </si>
  <si>
    <t xml:space="preserve">Assumption for a light buildout of existing space (rooms, soundproofing, plumbing for the bar)</t>
  </si>
  <si>
    <t xml:space="preserve">Landlord tenant improvement allowance per sq ft</t>
  </si>
  <si>
    <t xml:space="preserve">Assumption. Negotiable; larger in landlord partnerships</t>
  </si>
  <si>
    <t xml:space="preserve">Furniture, fixtures, equipment</t>
  </si>
  <si>
    <t xml:space="preserve">Assumption: lounge furniture, massage tables, espresso machine, sound</t>
  </si>
  <si>
    <t xml:space="preserve">Pre-opening (hiring, training, launch, deposits)</t>
  </si>
  <si>
    <t xml:space="preserve">Rollout (company view)</t>
  </si>
  <si>
    <t xml:space="preserve">Year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</si>
  <si>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</si>
  <si>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</si>
  <si>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</si>
  <si>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</si>
  <si>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</si>
  <si>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locations opened</t>
  </si>
  <si>
    <t xml:space="preserve">HQ overhead (team, tech, recruiting, legal)</t>
  </si>
  <si>
    <t xml:space="preserve">Assumptions. HQ grows as you hire ops, a regional manager per ~5 locations, and finance</t>
  </si>
  <si>
    <t xml:space="preserve">One location at steady state (monthly)</t>
  </si>
  <si>
    <t xml:space="preserve">Members are set by 'Steady-state members per location' on Inputs.</t>
  </si>
  <si>
    <t xml:space="preserve">Members</t>
  </si>
  <si>
    <t xml:space="preserve">Monthly</t>
  </si>
  <si>
    <t xml:space="preserve">Per member</t>
  </si>
  <si>
    <t xml:space="preserve">Total members</t>
  </si>
  <si>
    <t xml:space="preserve">Self-paying members</t>
  </si>
  <si>
    <t xml:space="preserve">Employer-paid seats</t>
  </si>
  <si>
    <t xml:space="preserve">Active-member equivalents (employer seats count at their usage rate)</t>
  </si>
  <si>
    <t xml:space="preserve">Revenue</t>
  </si>
  <si>
    <t xml:space="preserve">Self-paying memberships</t>
  </si>
  <si>
    <t xml:space="preserve">Employer seat contracts</t>
  </si>
  <si>
    <t xml:space="preserve">Add-on revenue</t>
  </si>
  <si>
    <t xml:space="preserve">Total revenue</t>
  </si>
  <si>
    <t xml:space="preserve">Variable costs (scale with members)</t>
  </si>
  <si>
    <t xml:space="preserve">Card fees (self-paying members and add-ons; employers pay by bank transfer)</t>
  </si>
  <si>
    <t xml:space="preserve">B2B sales cost</t>
  </si>
  <si>
    <t xml:space="preserve">Massage therapist labor</t>
  </si>
  <si>
    <t xml:space="preserve">Coffee and tea</t>
  </si>
  <si>
    <t xml:space="preserve">Consumables</t>
  </si>
  <si>
    <t xml:space="preserve">Total variable costs</t>
  </si>
  <si>
    <t xml:space="preserve">Contribution after variable costs</t>
  </si>
  <si>
    <t xml:space="preserve">Fixed costs (same whether you have 200 or 500 members)</t>
  </si>
  <si>
    <t xml:space="preserve">Rent</t>
  </si>
  <si>
    <t xml:space="preserve">General manager (incl. taxes and benefits)</t>
  </si>
  <si>
    <t xml:space="preserve">Hosts / front desk</t>
  </si>
  <si>
    <t xml:space="preserve">Ritual facilitators</t>
  </si>
  <si>
    <t xml:space="preserve">Other operating costs</t>
  </si>
  <si>
    <t xml:space="preserve">Total fixed costs</t>
  </si>
  <si>
    <t xml:space="preserve">Profit</t>
  </si>
  <si>
    <t xml:space="preserve">Location profit before HQ costs ("4-wall EBITDA")</t>
  </si>
  <si>
    <t xml:space="preserve">4-wall margin</t>
  </si>
  <si>
    <t xml:space="preserve">Annual 4-wall EBITDA</t>
  </si>
  <si>
    <t xml:space="preserve">Break-even</t>
  </si>
  <si>
    <t xml:space="preserve">Massage labor per active member</t>
  </si>
  <si>
    <t xml:space="preserve">Other variable cost per active member</t>
  </si>
  <si>
    <t xml:space="preserve">Contribution per self-paying member</t>
  </si>
  <si>
    <t xml:space="preserve">Contribution per employer seat</t>
  </si>
  <si>
    <t xml:space="preserve">Blended contribution per member</t>
  </si>
  <si>
    <t xml:space="preserve">Blended revenue per member</t>
  </si>
  <si>
    <t xml:space="preserve">Blended variable cost per member</t>
  </si>
  <si>
    <t xml:space="preserve">Blended monthly churn</t>
  </si>
  <si>
    <t xml:space="preserve">Fixed costs (rent counted as fixed lease)</t>
  </si>
  <si>
    <t xml:space="preserve">Break-even members (fixed lease)</t>
  </si>
  <si>
    <t xml:space="preserve">Break-even members (revenue-share rent)</t>
  </si>
  <si>
    <t xml:space="preserve">Capacity checks (can the space handle these members?)</t>
  </si>
  <si>
    <t xml:space="preserve">Lounge: people at the busiest hour</t>
  </si>
  <si>
    <t xml:space="preserve">Lounge OK?</t>
  </si>
  <si>
    <t xml:space="preserve">Massage hours booked per month</t>
  </si>
  <si>
    <t xml:space="preserve">Massage room hours available per month</t>
  </si>
  <si>
    <t xml:space="preserve">Massage rooms OK?</t>
  </si>
  <si>
    <t xml:space="preserve">Max active-member equivalents the massage rooms can serve</t>
  </si>
  <si>
    <t xml:space="preserve">Part-time therapists needed</t>
  </si>
  <si>
    <t xml:space="preserve">Opening investment and payback</t>
  </si>
  <si>
    <t xml:space="preserve">Buildout (net of landlord allowance)</t>
  </si>
  <si>
    <t xml:space="preserve">Pre-opening</t>
  </si>
  <si>
    <t xml:space="preserve">Total cash to open one location</t>
  </si>
  <si>
    <t xml:space="preserve">Simple payback at steady state (years)</t>
  </si>
  <si>
    <t xml:space="preserve">First location, month by month</t>
  </si>
  <si>
    <t xml:space="preserve">Month 0 = opening costs. Members start at the opening-day number, add new members monthly (self-paying + employer seats, same mix as Inputs), lose blended churn, and cap at steady state.</t>
  </si>
  <si>
    <t xml:space="preserve">Month</t>
  </si>
  <si>
    <t xml:space="preserve">Variable costs</t>
  </si>
  <si>
    <t xml:space="preserve">Other fixed costs</t>
  </si>
  <si>
    <t xml:space="preserve">Location profit (4-wall)</t>
  </si>
  <si>
    <t xml:space="preserve">Opening costs</t>
  </si>
  <si>
    <t xml:space="preserve">Net cash flow</t>
  </si>
  <si>
    <t xml:space="preserve">Cumulative cash</t>
  </si>
  <si>
    <t xml:space="preserve">Payback month flag</t>
  </si>
  <si>
    <t xml:space="preserve">Payback month (cash back from opening costs)</t>
  </si>
  <si>
    <t xml:space="preserve">Lowest cash point (most cash at risk)</t>
  </si>
  <si>
    <t xml:space="preserve">Month-36 cumulative cash</t>
  </si>
  <si>
    <t xml:space="preserve">Monthly 4-wall profit for one location</t>
  </si>
  <si>
    <t xml:space="preserve">Uses the fixed-lease rent and all other inputs from the Inputs tab. Green = profitable.</t>
  </si>
  <si>
    <t xml:space="preserve">Table 1: Members (down) x Self-paying price (across). B2B mix, seat price and massage minutes as on Inputs.</t>
  </si>
  <si>
    <t xml:space="preserve">Members \ Price</t>
  </si>
  <si>
    <t xml:space="preserve">Table 2: Included massage minutes per month (down) x Self-paying price (across). Members and B2B mix as on Inputs.</t>
  </si>
  <si>
    <t xml:space="preserve">Massage min \ Price</t>
  </si>
  <si>
    <t xml:space="preserve">Table 3: Share of members paid by employers (down) x Employer seat price (across). Members, consumer price and massage minutes as on Inputs.</t>
  </si>
  <si>
    <t xml:space="preserve">B2B share \ Seat price</t>
  </si>
  <si>
    <t xml:space="preserve">Company view: multi-location rollout (annual)</t>
  </si>
  <si>
    <t xml:space="preserve">Each location follows the 36-Month Ramp: year 1 of a location = ramp months 1-12, year 2 = months 13-24, year 3+ = months 25-36. Opening costs land in the year a location opens.</t>
  </si>
  <si>
    <t xml:space="preserve">New locations opened (in their first year)</t>
  </si>
  <si>
    <t xml:space="preserve">Locations in their second year</t>
  </si>
  <si>
    <t xml:space="preserve">Locations in year 3 or later</t>
  </si>
  <si>
    <t xml:space="preserve">Total locations open</t>
  </si>
  <si>
    <t xml:space="preserve">Location profit (4-wall EBITDA)</t>
  </si>
  <si>
    <t xml:space="preserve">HQ overhead</t>
  </si>
  <si>
    <t xml:space="preserve">Company EBITDA</t>
  </si>
  <si>
    <t xml:space="preserve">Opening investment</t>
  </si>
  <si>
    <t xml:space="preserve">Free cash flow</t>
  </si>
  <si>
    <t xml:space="preserve">Peak capital need (lowest cumulative cash, years 1-5)</t>
  </si>
  <si>
    <t xml:space="preserve">Add a 20-30% buffer on top of this when deciding how much to raise.</t>
  </si>
  <si>
    <t xml:space="preserve">Sources and notes</t>
  </si>
  <si>
    <t xml:space="preserve">Membership price and benefits: visitoffhours.com (from your screen recording) and your instruction that the price is $150/month.</t>
  </si>
  <si>
    <t xml:space="preserve">Massage therapist pay: Boston-Cambridge-Newton median $36.13/hr, BLS May 2025 via WageDex. https://wagedex.com/jobs/massage-therapists/metro/boston-cambridge-newton-ma-nh</t>
  </si>
  <si>
    <t xml:space="preserve">Payscale Boston LMT average $35/hr. https://www.payscale.com/research/US/Job=Licensed_Massage_Therapist_(LMT)/Hourly_Rate/9d4bcf95/Boston-MA</t>
  </si>
  <si>
    <t xml:space="preserve">Boston retail rents: Back Bay $125-225/sf, Seaport $85-150/sf (Banker &amp; Tradesman). https://bankerandtradesman.com/fidelity-invests-in-seaports-retail-reinvention</t>
  </si>
  <si>
    <t xml:space="preserve">MA worker classification (ABC test, prong B): https://www.mass.gov/news/ag-campbell-files-amicus-brief-urging-court-to-reverse-decision-in-massachusetts-worker-misclassification-case</t>
  </si>
  <si>
    <t xml:space="preserve">MA massage establishment licensing, 269 CMR 6.00: https://www.mass.gov/regulations/269-CMR-6-facility-licensure</t>
  </si>
  <si>
    <t xml:space="preserve">Landlord management agreements / revenue share (Industrious): https://www.wealthmanagement.com/wealth-management-industry-trends/office-landlords-consider-management-agreements-in-lieu-of-leases-for-co-working-operators</t>
  </si>
  <si>
    <t xml:space="preserve">Fabrik below-market flexible leases and Hines backing (CoStar): https://www.costar.com/article/1868835210/this-hines-backed-startup-offers-flexible-space-to-more-than-office-workers</t>
  </si>
  <si>
    <t xml:space="preserve">Corporate membership usage benchmark: ~24% of employer-provided gym memberships never used (4global DataHub, UK, 2018). https://ukactive.com/news/new-research-explores-value-of-employer-provided-gym-memberships/</t>
  </si>
  <si>
    <t xml:space="preserve">Everything not listed above is a planning assumption, labeled on the Inputs tab. Replace with real quotes as you get them.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</si>
</sst>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#,##0.0;\(#,##0.0\);\-"/>
    <numFmt numFmtId="169" formatCode="\$#,##0.00;&quot;($&quot;#,##0.00\);\-"/>
    <numFmt numFmtId="170" formatCode="0"/>
    <numFmt numFmtId="171" formatCode="@"/>
    <numFmt numFmtId="172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2235"/>
        <bgColor rgb="FF333300"/>
      </patternFill>
    </fill>
    <fill>
      <patternFill patternType="solid">
        <fgColor rgb="FFF3E6CC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2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5" t="s">
        <v>12</v>
      </c>
    </row>
    <row r="16" customFormat="false" ht="1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0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18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</row>
    <row r="3" customFormat="false" ht="15" hidden="false" customHeight="false" outlineLevel="0" collapsed="false">
      <c r="A3" s="8" t="s">
        <v>19</v>
      </c>
      <c r="B3" s="8" t="s">
        <v>20</v>
      </c>
      <c r="C3" s="8" t="s">
        <v>21</v>
      </c>
      <c r="D3" s="7"/>
      <c r="E3" s="7"/>
      <c r="F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</row>
    <row r="5" customFormat="false" ht="15" hidden="false" customHeight="false" outlineLevel="0" collapsed="false">
      <c r="A5" s="9" t="s">
        <v>22</v>
      </c>
      <c r="B5" s="10"/>
      <c r="C5" s="10"/>
      <c r="D5" s="7"/>
      <c r="E5" s="7"/>
      <c r="F5" s="7"/>
    </row>
    <row r="6" customFormat="false" ht="15" hidden="false" customHeight="false" outlineLevel="0" collapsed="false">
      <c r="A6" s="2" t="s">
        <v>23</v>
      </c>
      <c r="B6" s="11" t="n">
        <v>150</v>
      </c>
      <c r="C6" s="12" t="s">
        <v>24</v>
      </c>
      <c r="D6" s="7"/>
      <c r="E6" s="7"/>
      <c r="F6" s="7"/>
    </row>
    <row r="7" customFormat="false" ht="15" hidden="false" customHeight="false" outlineLevel="0" collapsed="false">
      <c r="A7" s="2" t="s">
        <v>25</v>
      </c>
      <c r="B7" s="13" t="n">
        <v>15</v>
      </c>
      <c r="C7" s="12" t="s">
        <v>26</v>
      </c>
      <c r="D7" s="7"/>
      <c r="E7" s="7"/>
      <c r="F7" s="7"/>
    </row>
    <row r="8" customFormat="false" ht="15" hidden="false" customHeight="false" outlineLevel="0" collapsed="false">
      <c r="A8" s="2" t="s">
        <v>27</v>
      </c>
      <c r="B8" s="14" t="n">
        <v>0.03</v>
      </c>
      <c r="C8" s="12" t="s">
        <v>28</v>
      </c>
      <c r="D8" s="7"/>
      <c r="E8" s="7"/>
      <c r="F8" s="7"/>
    </row>
    <row r="9" customFormat="false" ht="15" hidden="false" customHeight="false" outlineLevel="0" collapsed="false">
      <c r="A9" s="2" t="s">
        <v>29</v>
      </c>
      <c r="B9" s="15" t="n">
        <v>450</v>
      </c>
      <c r="C9" s="12" t="s">
        <v>30</v>
      </c>
      <c r="D9" s="7"/>
      <c r="E9" s="7"/>
      <c r="F9" s="7"/>
    </row>
    <row r="10" customFormat="false" ht="15" hidden="false" customHeight="false" outlineLevel="0" collapsed="false">
      <c r="A10" s="2" t="s">
        <v>31</v>
      </c>
      <c r="B10" s="16" t="n">
        <v>100</v>
      </c>
      <c r="C10" s="12" t="s">
        <v>32</v>
      </c>
      <c r="D10" s="7"/>
      <c r="E10" s="7"/>
      <c r="F10" s="7"/>
    </row>
    <row r="11" customFormat="false" ht="15" hidden="false" customHeight="false" outlineLevel="0" collapsed="false">
      <c r="A11" s="2" t="s">
        <v>33</v>
      </c>
      <c r="B11" s="15" t="n">
        <v>40</v>
      </c>
      <c r="C11" s="12" t="s">
        <v>34</v>
      </c>
      <c r="D11" s="7"/>
      <c r="E11" s="7"/>
      <c r="F11" s="7"/>
    </row>
    <row r="12" customFormat="false" ht="15" hidden="false" customHeight="false" outlineLevel="0" collapsed="false">
      <c r="A12" s="2" t="s">
        <v>35</v>
      </c>
      <c r="B12" s="17" t="n">
        <v>0.04</v>
      </c>
      <c r="C12" s="12" t="s">
        <v>36</v>
      </c>
      <c r="D12" s="7"/>
      <c r="E12" s="7"/>
      <c r="F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</row>
    <row r="14" customFormat="false" ht="15" hidden="false" customHeight="false" outlineLevel="0" collapsed="false">
      <c r="A14" s="9" t="s">
        <v>37</v>
      </c>
      <c r="B14" s="10"/>
      <c r="C14" s="10"/>
      <c r="D14" s="7"/>
      <c r="E14" s="7"/>
      <c r="F14" s="7"/>
    </row>
    <row r="15" customFormat="false" ht="15" hidden="false" customHeight="false" outlineLevel="0" collapsed="false">
      <c r="A15" s="2" t="s">
        <v>38</v>
      </c>
      <c r="B15" s="17" t="n">
        <v>0.4</v>
      </c>
      <c r="C15" s="12" t="s">
        <v>39</v>
      </c>
      <c r="D15" s="7"/>
      <c r="E15" s="7"/>
      <c r="F15" s="7"/>
    </row>
    <row r="16" customFormat="false" ht="15" hidden="false" customHeight="false" outlineLevel="0" collapsed="false">
      <c r="A16" s="2" t="s">
        <v>40</v>
      </c>
      <c r="B16" s="11" t="n">
        <v>125</v>
      </c>
      <c r="C16" s="12" t="s">
        <v>41</v>
      </c>
      <c r="D16" s="7"/>
      <c r="E16" s="7"/>
      <c r="F16" s="7"/>
    </row>
    <row r="17" customFormat="false" ht="15" hidden="false" customHeight="false" outlineLevel="0" collapsed="false">
      <c r="A17" s="2" t="s">
        <v>42</v>
      </c>
      <c r="B17" s="17" t="n">
        <v>0.65</v>
      </c>
      <c r="C17" s="12" t="s">
        <v>43</v>
      </c>
      <c r="D17" s="7"/>
      <c r="E17" s="7"/>
      <c r="F17" s="7"/>
    </row>
    <row r="18" customFormat="false" ht="15" hidden="false" customHeight="false" outlineLevel="0" collapsed="false">
      <c r="A18" s="2" t="s">
        <v>44</v>
      </c>
      <c r="B18" s="14" t="n">
        <v>0.015</v>
      </c>
      <c r="C18" s="12" t="s">
        <v>45</v>
      </c>
      <c r="D18" s="7"/>
      <c r="E18" s="7"/>
      <c r="F18" s="7"/>
    </row>
    <row r="19" customFormat="false" ht="15" hidden="false" customHeight="false" outlineLevel="0" collapsed="false">
      <c r="A19" s="2" t="s">
        <v>46</v>
      </c>
      <c r="B19" s="14" t="n">
        <v>0.1</v>
      </c>
      <c r="C19" s="12" t="s">
        <v>47</v>
      </c>
      <c r="D19" s="7"/>
      <c r="E19" s="7"/>
      <c r="F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</row>
    <row r="21" customFormat="false" ht="15" hidden="false" customHeight="false" outlineLevel="0" collapsed="false">
      <c r="A21" s="9" t="s">
        <v>48</v>
      </c>
      <c r="B21" s="10"/>
      <c r="C21" s="10"/>
      <c r="D21" s="7"/>
      <c r="E21" s="7"/>
      <c r="F21" s="7"/>
    </row>
    <row r="22" customFormat="false" ht="15" hidden="false" customHeight="false" outlineLevel="0" collapsed="false">
      <c r="A22" s="2" t="s">
        <v>49</v>
      </c>
      <c r="B22" s="18" t="n">
        <v>6</v>
      </c>
      <c r="C22" s="12" t="s">
        <v>50</v>
      </c>
      <c r="D22" s="7"/>
      <c r="E22" s="7"/>
      <c r="F22" s="7"/>
    </row>
    <row r="23" customFormat="false" ht="15" hidden="false" customHeight="false" outlineLevel="0" collapsed="false">
      <c r="A23" s="2" t="s">
        <v>51</v>
      </c>
      <c r="B23" s="18" t="n">
        <v>1.5</v>
      </c>
      <c r="C23" s="12" t="s">
        <v>34</v>
      </c>
      <c r="D23" s="7"/>
      <c r="E23" s="7"/>
      <c r="F23" s="7"/>
    </row>
    <row r="24" customFormat="false" ht="15" hidden="false" customHeight="false" outlineLevel="0" collapsed="false">
      <c r="A24" s="2" t="s">
        <v>52</v>
      </c>
      <c r="B24" s="18" t="n">
        <v>2.5</v>
      </c>
      <c r="C24" s="12" t="s">
        <v>53</v>
      </c>
      <c r="D24" s="7"/>
      <c r="E24" s="7"/>
      <c r="F24" s="7"/>
    </row>
    <row r="25" customFormat="false" ht="15" hidden="false" customHeight="false" outlineLevel="0" collapsed="false">
      <c r="A25" s="2" t="s">
        <v>54</v>
      </c>
      <c r="B25" s="16" t="n">
        <v>14</v>
      </c>
      <c r="C25" s="12" t="s">
        <v>55</v>
      </c>
      <c r="D25" s="7"/>
      <c r="E25" s="7"/>
      <c r="F25" s="7"/>
    </row>
    <row r="26" customFormat="false" ht="15" hidden="false" customHeight="false" outlineLevel="0" collapsed="false">
      <c r="A26" s="2" t="s">
        <v>56</v>
      </c>
      <c r="B26" s="16" t="n">
        <v>30</v>
      </c>
      <c r="C26" s="12" t="s">
        <v>57</v>
      </c>
      <c r="D26" s="7"/>
      <c r="E26" s="7"/>
      <c r="F26" s="7"/>
    </row>
    <row r="27" customFormat="false" ht="15" hidden="false" customHeight="false" outlineLevel="0" collapsed="false">
      <c r="A27" s="2" t="s">
        <v>58</v>
      </c>
      <c r="B27" s="15" t="n">
        <v>60</v>
      </c>
      <c r="C27" s="12" t="s">
        <v>59</v>
      </c>
      <c r="D27" s="7"/>
      <c r="E27" s="7"/>
      <c r="F27" s="7"/>
    </row>
    <row r="28" customFormat="false" ht="15" hidden="false" customHeight="false" outlineLevel="0" collapsed="false">
      <c r="A28" s="2" t="s">
        <v>60</v>
      </c>
      <c r="B28" s="17" t="n">
        <v>0.75</v>
      </c>
      <c r="C28" s="12" t="s">
        <v>61</v>
      </c>
      <c r="D28" s="7"/>
      <c r="E28" s="7"/>
      <c r="F28" s="7"/>
    </row>
    <row r="29" customFormat="false" ht="15" hidden="false" customHeight="false" outlineLevel="0" collapsed="false">
      <c r="A29" s="2" t="s">
        <v>62</v>
      </c>
      <c r="B29" s="18" t="n">
        <v>1.2</v>
      </c>
      <c r="C29" s="12" t="s">
        <v>34</v>
      </c>
      <c r="D29" s="7"/>
      <c r="E29" s="7"/>
      <c r="F29" s="7"/>
    </row>
    <row r="30" customFormat="false" ht="15" hidden="false" customHeight="false" outlineLevel="0" collapsed="false">
      <c r="A30" s="2" t="s">
        <v>63</v>
      </c>
      <c r="B30" s="19" t="n">
        <v>1.1</v>
      </c>
      <c r="C30" s="12" t="s">
        <v>34</v>
      </c>
      <c r="D30" s="7"/>
      <c r="E30" s="7"/>
      <c r="F30" s="7"/>
    </row>
    <row r="31" customFormat="false" ht="15" hidden="false" customHeight="false" outlineLevel="0" collapsed="false">
      <c r="A31" s="2" t="s">
        <v>64</v>
      </c>
      <c r="B31" s="19" t="n">
        <v>0.75</v>
      </c>
      <c r="C31" s="12" t="s">
        <v>34</v>
      </c>
      <c r="D31" s="7"/>
      <c r="E31" s="7"/>
      <c r="F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</row>
    <row r="33" customFormat="false" ht="15" hidden="false" customHeight="false" outlineLevel="0" collapsed="false">
      <c r="A33" s="9" t="s">
        <v>65</v>
      </c>
      <c r="B33" s="10"/>
      <c r="C33" s="10"/>
      <c r="D33" s="7"/>
      <c r="E33" s="7"/>
      <c r="F33" s="7"/>
    </row>
    <row r="34" customFormat="false" ht="15" hidden="false" customHeight="false" outlineLevel="0" collapsed="false">
      <c r="A34" s="2" t="s">
        <v>66</v>
      </c>
      <c r="B34" s="20" t="n">
        <v>38</v>
      </c>
      <c r="C34" s="12" t="s">
        <v>67</v>
      </c>
      <c r="D34" s="7"/>
      <c r="E34" s="7"/>
      <c r="F34" s="7"/>
    </row>
    <row r="35" customFormat="false" ht="15" hidden="false" customHeight="false" outlineLevel="0" collapsed="false">
      <c r="A35" s="2" t="s">
        <v>68</v>
      </c>
      <c r="B35" s="14" t="n">
        <v>0.15</v>
      </c>
      <c r="C35" s="12" t="s">
        <v>69</v>
      </c>
      <c r="D35" s="7"/>
      <c r="E35" s="7"/>
      <c r="F35" s="7"/>
    </row>
    <row r="36" customFormat="false" ht="15" hidden="false" customHeight="false" outlineLevel="0" collapsed="false">
      <c r="A36" s="2" t="s">
        <v>70</v>
      </c>
      <c r="B36" s="17" t="n">
        <v>0.75</v>
      </c>
      <c r="C36" s="12" t="s">
        <v>71</v>
      </c>
      <c r="D36" s="7"/>
      <c r="E36" s="7"/>
      <c r="F36" s="7"/>
    </row>
    <row r="37" customFormat="false" ht="15" hidden="false" customHeight="false" outlineLevel="0" collapsed="false">
      <c r="A37" s="2" t="s">
        <v>72</v>
      </c>
      <c r="B37" s="16" t="n">
        <v>80</v>
      </c>
      <c r="C37" s="12" t="s">
        <v>73</v>
      </c>
      <c r="D37" s="7"/>
      <c r="E37" s="7"/>
      <c r="F37" s="7"/>
    </row>
    <row r="38" customFormat="false" ht="15" hidden="false" customHeight="false" outlineLevel="0" collapsed="false">
      <c r="A38" s="2" t="s">
        <v>74</v>
      </c>
      <c r="B38" s="16" t="n">
        <v>4</v>
      </c>
      <c r="C38" s="12" t="s">
        <v>34</v>
      </c>
      <c r="D38" s="7"/>
      <c r="E38" s="7"/>
      <c r="F38" s="7"/>
    </row>
    <row r="39" customFormat="false" ht="15" hidden="false" customHeight="false" outlineLevel="0" collapsed="false">
      <c r="A39" s="2" t="s">
        <v>75</v>
      </c>
      <c r="B39" s="14" t="n">
        <v>0.65</v>
      </c>
      <c r="C39" s="12" t="s">
        <v>34</v>
      </c>
      <c r="D39" s="7"/>
      <c r="E39" s="7"/>
      <c r="F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</row>
    <row r="41" customFormat="false" ht="15" hidden="false" customHeight="false" outlineLevel="0" collapsed="false">
      <c r="A41" s="9" t="s">
        <v>76</v>
      </c>
      <c r="B41" s="10"/>
      <c r="C41" s="10"/>
      <c r="D41" s="7"/>
      <c r="E41" s="7"/>
      <c r="F41" s="7"/>
    </row>
    <row r="42" customFormat="false" ht="15" hidden="false" customHeight="false" outlineLevel="0" collapsed="false">
      <c r="A42" s="2" t="s">
        <v>77</v>
      </c>
      <c r="B42" s="15" t="n">
        <v>3000</v>
      </c>
      <c r="C42" s="12" t="s">
        <v>34</v>
      </c>
      <c r="D42" s="7"/>
      <c r="E42" s="7"/>
      <c r="F42" s="7"/>
    </row>
    <row r="43" customFormat="false" ht="15" hidden="false" customHeight="false" outlineLevel="0" collapsed="false">
      <c r="A43" s="2" t="s">
        <v>78</v>
      </c>
      <c r="B43" s="20" t="n">
        <v>55</v>
      </c>
      <c r="C43" s="12" t="s">
        <v>79</v>
      </c>
      <c r="D43" s="7"/>
      <c r="E43" s="7"/>
      <c r="F43" s="7"/>
    </row>
    <row r="44" customFormat="false" ht="15" hidden="false" customHeight="false" outlineLevel="0" collapsed="false">
      <c r="A44" s="2" t="s">
        <v>80</v>
      </c>
      <c r="B44" s="21" t="n">
        <v>1</v>
      </c>
      <c r="C44" s="12" t="s">
        <v>81</v>
      </c>
      <c r="D44" s="7"/>
      <c r="E44" s="7"/>
      <c r="F44" s="7"/>
    </row>
    <row r="45" customFormat="false" ht="15" hidden="false" customHeight="false" outlineLevel="0" collapsed="false">
      <c r="A45" s="2" t="s">
        <v>82</v>
      </c>
      <c r="B45" s="14" t="n">
        <v>0.18</v>
      </c>
      <c r="C45" s="12" t="s">
        <v>34</v>
      </c>
      <c r="D45" s="7"/>
      <c r="E45" s="7"/>
      <c r="F45" s="7"/>
    </row>
    <row r="46" customFormat="false" ht="15" hidden="false" customHeight="false" outlineLevel="0" collapsed="false">
      <c r="A46" s="2" t="s">
        <v>83</v>
      </c>
      <c r="B46" s="16" t="n">
        <v>45</v>
      </c>
      <c r="C46" s="12" t="s">
        <v>34</v>
      </c>
      <c r="D46" s="7"/>
      <c r="E46" s="7"/>
      <c r="F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</row>
    <row r="48" customFormat="false" ht="15" hidden="false" customHeight="false" outlineLevel="0" collapsed="false">
      <c r="A48" s="9" t="s">
        <v>84</v>
      </c>
      <c r="B48" s="10"/>
      <c r="C48" s="10"/>
      <c r="D48" s="7"/>
      <c r="E48" s="7"/>
      <c r="F48" s="7"/>
    </row>
    <row r="49" customFormat="false" ht="15" hidden="false" customHeight="false" outlineLevel="0" collapsed="false">
      <c r="A49" s="2" t="s">
        <v>85</v>
      </c>
      <c r="B49" s="13" t="n">
        <v>80000</v>
      </c>
      <c r="C49" s="12" t="s">
        <v>34</v>
      </c>
      <c r="D49" s="7"/>
      <c r="E49" s="7"/>
      <c r="F49" s="7"/>
    </row>
    <row r="50" customFormat="false" ht="15" hidden="false" customHeight="false" outlineLevel="0" collapsed="false">
      <c r="A50" s="2" t="s">
        <v>86</v>
      </c>
      <c r="B50" s="19" t="n">
        <v>22</v>
      </c>
      <c r="C50" s="12" t="s">
        <v>34</v>
      </c>
      <c r="D50" s="7"/>
      <c r="E50" s="7"/>
      <c r="F50" s="7"/>
    </row>
    <row r="51" customFormat="false" ht="15" hidden="false" customHeight="false" outlineLevel="0" collapsed="false">
      <c r="A51" s="2" t="s">
        <v>87</v>
      </c>
      <c r="B51" s="18" t="n">
        <v>1.25</v>
      </c>
      <c r="C51" s="12" t="s">
        <v>34</v>
      </c>
      <c r="D51" s="7"/>
      <c r="E51" s="7"/>
      <c r="F51" s="7"/>
    </row>
    <row r="52" customFormat="false" ht="15" hidden="false" customHeight="false" outlineLevel="0" collapsed="false">
      <c r="A52" s="2" t="s">
        <v>88</v>
      </c>
      <c r="B52" s="16" t="n">
        <v>30</v>
      </c>
      <c r="C52" s="12" t="s">
        <v>89</v>
      </c>
      <c r="D52" s="7"/>
      <c r="E52" s="7"/>
      <c r="F52" s="7"/>
    </row>
    <row r="53" customFormat="false" ht="15" hidden="false" customHeight="false" outlineLevel="0" collapsed="false">
      <c r="A53" s="2" t="s">
        <v>90</v>
      </c>
      <c r="B53" s="13" t="n">
        <v>125</v>
      </c>
      <c r="C53" s="12" t="s">
        <v>34</v>
      </c>
      <c r="D53" s="7"/>
      <c r="E53" s="7"/>
      <c r="F53" s="7"/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</row>
    <row r="55" customFormat="false" ht="15" hidden="false" customHeight="false" outlineLevel="0" collapsed="false">
      <c r="A55" s="9" t="s">
        <v>91</v>
      </c>
      <c r="B55" s="10"/>
      <c r="C55" s="10"/>
      <c r="D55" s="7"/>
      <c r="E55" s="7"/>
      <c r="F55" s="7"/>
    </row>
    <row r="56" customFormat="false" ht="15" hidden="false" customHeight="false" outlineLevel="0" collapsed="false">
      <c r="A56" s="2" t="s">
        <v>92</v>
      </c>
      <c r="B56" s="13" t="n">
        <v>2500</v>
      </c>
      <c r="C56" s="12" t="s">
        <v>34</v>
      </c>
      <c r="D56" s="7"/>
      <c r="E56" s="7"/>
      <c r="F56" s="7"/>
    </row>
    <row r="57" customFormat="false" ht="15" hidden="false" customHeight="false" outlineLevel="0" collapsed="false">
      <c r="A57" s="2" t="s">
        <v>93</v>
      </c>
      <c r="B57" s="13" t="n">
        <v>3000</v>
      </c>
      <c r="C57" s="12" t="s">
        <v>34</v>
      </c>
      <c r="D57" s="7"/>
      <c r="E57" s="7"/>
      <c r="F57" s="7"/>
    </row>
    <row r="58" customFormat="false" ht="15" hidden="false" customHeight="false" outlineLevel="0" collapsed="false">
      <c r="A58" s="2" t="s">
        <v>94</v>
      </c>
      <c r="B58" s="13" t="n">
        <v>1000</v>
      </c>
      <c r="C58" s="12" t="s">
        <v>34</v>
      </c>
      <c r="D58" s="7"/>
      <c r="E58" s="7"/>
      <c r="F58" s="7"/>
    </row>
    <row r="59" customFormat="false" ht="15" hidden="false" customHeight="false" outlineLevel="0" collapsed="false">
      <c r="A59" s="2" t="s">
        <v>95</v>
      </c>
      <c r="B59" s="13" t="n">
        <v>800</v>
      </c>
      <c r="C59" s="12" t="s">
        <v>34</v>
      </c>
      <c r="D59" s="7"/>
      <c r="E59" s="7"/>
      <c r="F59" s="7"/>
    </row>
    <row r="60" customFormat="false" ht="15" hidden="false" customHeight="false" outlineLevel="0" collapsed="false">
      <c r="A60" s="2" t="s">
        <v>96</v>
      </c>
      <c r="B60" s="13" t="n">
        <v>4000</v>
      </c>
      <c r="C60" s="12" t="s">
        <v>34</v>
      </c>
      <c r="D60" s="7"/>
      <c r="E60" s="7"/>
      <c r="F60" s="7"/>
    </row>
    <row r="61" customFormat="false" ht="15" hidden="false" customHeight="false" outlineLevel="0" collapsed="false">
      <c r="A61" s="2" t="s">
        <v>97</v>
      </c>
      <c r="B61" s="13" t="n">
        <v>1000</v>
      </c>
      <c r="C61" s="12" t="s">
        <v>34</v>
      </c>
      <c r="D61" s="7"/>
      <c r="E61" s="7"/>
      <c r="F61" s="7"/>
    </row>
    <row r="62" customFormat="false" ht="15" hidden="false" customHeight="false" outlineLevel="0" collapsed="false">
      <c r="A62" s="2" t="s">
        <v>98</v>
      </c>
      <c r="B62" s="13" t="n">
        <v>700</v>
      </c>
      <c r="C62" s="12" t="s">
        <v>34</v>
      </c>
      <c r="D62" s="7"/>
      <c r="E62" s="7"/>
      <c r="F62" s="7"/>
    </row>
    <row r="63" customFormat="false" ht="15" hidden="false" customHeight="false" outlineLevel="0" collapsed="false">
      <c r="A63" s="7"/>
      <c r="B63" s="7"/>
      <c r="C63" s="7"/>
      <c r="D63" s="7"/>
      <c r="E63" s="7"/>
      <c r="F63" s="7"/>
    </row>
    <row r="64" customFormat="false" ht="15" hidden="false" customHeight="false" outlineLevel="0" collapsed="false">
      <c r="A64" s="9" t="s">
        <v>99</v>
      </c>
      <c r="B64" s="10"/>
      <c r="C64" s="10"/>
      <c r="D64" s="7"/>
      <c r="E64" s="7"/>
      <c r="F64" s="7"/>
    </row>
    <row r="65" customFormat="false" ht="15" hidden="false" customHeight="false" outlineLevel="0" collapsed="false">
      <c r="A65" s="2" t="s">
        <v>100</v>
      </c>
      <c r="B65" s="11" t="n">
        <v>120</v>
      </c>
      <c r="C65" s="12" t="s">
        <v>101</v>
      </c>
      <c r="D65" s="7"/>
      <c r="E65" s="7"/>
      <c r="F65" s="7"/>
    </row>
    <row r="66" customFormat="false" ht="15" hidden="false" customHeight="false" outlineLevel="0" collapsed="false">
      <c r="A66" s="2" t="s">
        <v>102</v>
      </c>
      <c r="B66" s="13" t="n">
        <v>40</v>
      </c>
      <c r="C66" s="12" t="s">
        <v>103</v>
      </c>
      <c r="D66" s="7"/>
      <c r="E66" s="7"/>
      <c r="F66" s="7"/>
    </row>
    <row r="67" customFormat="false" ht="15" hidden="false" customHeight="false" outlineLevel="0" collapsed="false">
      <c r="A67" s="2" t="s">
        <v>104</v>
      </c>
      <c r="B67" s="13" t="n">
        <v>90000</v>
      </c>
      <c r="C67" s="12" t="s">
        <v>105</v>
      </c>
      <c r="D67" s="7"/>
      <c r="E67" s="7"/>
      <c r="F67" s="7"/>
    </row>
    <row r="68" customFormat="false" ht="15" hidden="false" customHeight="false" outlineLevel="0" collapsed="false">
      <c r="A68" s="2" t="s">
        <v>106</v>
      </c>
      <c r="B68" s="13" t="n">
        <v>70000</v>
      </c>
      <c r="C68" s="12" t="s">
        <v>34</v>
      </c>
      <c r="D68" s="7"/>
      <c r="E68" s="7"/>
      <c r="F68" s="7"/>
    </row>
    <row r="69" customFormat="false" ht="15" hidden="false" customHeight="false" outlineLevel="0" collapsed="false">
      <c r="A69" s="7"/>
      <c r="B69" s="7"/>
      <c r="C69" s="7"/>
      <c r="D69" s="7"/>
      <c r="E69" s="7"/>
      <c r="F69" s="7"/>
    </row>
    <row r="70" customFormat="false" ht="15" hidden="false" customHeight="false" outlineLevel="0" collapsed="false">
      <c r="A70" s="9" t="s">
        <v>107</v>
      </c>
      <c r="B70" s="10"/>
      <c r="C70" s="10"/>
      <c r="D70" s="7"/>
      <c r="E70" s="7"/>
      <c r="F70" s="7"/>
    </row>
    <row r="71" customFormat="false" ht="15" hidden="false" customHeight="false" outlineLevel="0" collapsed="false">
      <c r="A71" s="3" t="s">
        <v>108</v>
      </c>
      <c r="B71" s="3" t="s">
        <v>109</v>
      </c>
      <c r="C71" s="3" t="s">
        <v>110</v>
      </c>
      <c r="D71" s="3" t="s">
        <v>111</v>
      </c>
      <c r="E71" s="3" t="s">
        <v>112</v>
      </c>
      <c r="F71" s="3" t="s">
        <v>113</v>
      </c>
    </row>
    <row r="72" customFormat="false" ht="15" hidden="false" customHeight="false" outlineLevel="0" collapsed="false">
      <c r="A72" s="7" t="s">
        <v>114</v>
      </c>
      <c r="B72" s="16" t="n">
        <v>1</v>
      </c>
      <c r="C72" s="16" t="n">
        <v>1</v>
      </c>
      <c r="D72" s="16" t="n">
        <v>2</v>
      </c>
      <c r="E72" s="16" t="n">
        <v>4</v>
      </c>
      <c r="F72" s="16" t="n">
        <v>6</v>
      </c>
    </row>
    <row r="73" customFormat="false" ht="15" hidden="false" customHeight="false" outlineLevel="0" collapsed="false">
      <c r="A73" s="7" t="s">
        <v>115</v>
      </c>
      <c r="B73" s="13" t="n">
        <v>150000</v>
      </c>
      <c r="C73" s="13" t="n">
        <v>400000</v>
      </c>
      <c r="D73" s="13" t="n">
        <v>800000</v>
      </c>
      <c r="E73" s="13" t="n">
        <v>1400000</v>
      </c>
      <c r="F73" s="13" t="n">
        <v>2200000</v>
      </c>
    </row>
    <row r="74" customFormat="false" ht="15" hidden="false" customHeight="false" outlineLevel="0" collapsed="false">
      <c r="A74" s="12" t="s">
        <v>116</v>
      </c>
      <c r="B74" s="7"/>
      <c r="C74" s="7"/>
      <c r="D74" s="7"/>
      <c r="E74" s="7"/>
      <c r="F7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117</v>
      </c>
      <c r="B1" s="7"/>
      <c r="C1" s="7"/>
    </row>
    <row r="2" customFormat="false" ht="15" hidden="false" customHeight="false" outlineLevel="0" collapsed="false">
      <c r="A2" s="12" t="s">
        <v>118</v>
      </c>
      <c r="B2" s="7"/>
      <c r="C2" s="7"/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8" t="s">
        <v>119</v>
      </c>
      <c r="B4" s="8" t="s">
        <v>120</v>
      </c>
      <c r="C4" s="8" t="s">
        <v>121</v>
      </c>
    </row>
    <row r="5" customFormat="false" ht="15" hidden="false" customHeight="false" outlineLevel="0" collapsed="false">
      <c r="A5" s="2" t="s">
        <v>122</v>
      </c>
      <c r="B5" s="22" t="n">
        <f aca="false">Inputs!$B$9</f>
        <v>450</v>
      </c>
      <c r="C5" s="7"/>
    </row>
    <row r="6" customFormat="false" ht="15" hidden="false" customHeight="false" outlineLevel="0" collapsed="false">
      <c r="A6" s="2" t="s">
        <v>123</v>
      </c>
      <c r="B6" s="23" t="n">
        <f aca="false">$B$5*(1-Inputs!$B$15)</f>
        <v>270</v>
      </c>
      <c r="C6" s="7"/>
    </row>
    <row r="7" customFormat="false" ht="15" hidden="false" customHeight="false" outlineLevel="0" collapsed="false">
      <c r="A7" s="2" t="s">
        <v>124</v>
      </c>
      <c r="B7" s="23" t="n">
        <f aca="false">$B$5*Inputs!$B$15</f>
        <v>180</v>
      </c>
      <c r="C7" s="7"/>
    </row>
    <row r="8" customFormat="false" ht="15" hidden="false" customHeight="false" outlineLevel="0" collapsed="false">
      <c r="A8" s="2" t="s">
        <v>125</v>
      </c>
      <c r="B8" s="23" t="n">
        <f aca="false">$B$6+$B$7*Inputs!$B$17</f>
        <v>387</v>
      </c>
      <c r="C8" s="7"/>
    </row>
    <row r="9" customFormat="false" ht="15" hidden="false" customHeight="false" outlineLevel="0" collapsed="false">
      <c r="A9" s="7"/>
      <c r="B9" s="7"/>
      <c r="C9" s="7"/>
    </row>
    <row r="10" customFormat="false" ht="15" hidden="false" customHeight="false" outlineLevel="0" collapsed="false">
      <c r="A10" s="8" t="s">
        <v>126</v>
      </c>
      <c r="B10" s="8" t="s">
        <v>120</v>
      </c>
      <c r="C10" s="8" t="s">
        <v>121</v>
      </c>
    </row>
    <row r="11" customFormat="false" ht="15" hidden="false" customHeight="false" outlineLevel="0" collapsed="false">
      <c r="A11" s="2" t="s">
        <v>127</v>
      </c>
      <c r="B11" s="24" t="n">
        <f aca="false">$B$6*Inputs!$B$6</f>
        <v>40500</v>
      </c>
      <c r="C11" s="25" t="n">
        <f aca="false">IF($B$5=0,0,B11/$B$5)</f>
        <v>90</v>
      </c>
    </row>
    <row r="12" customFormat="false" ht="15" hidden="false" customHeight="false" outlineLevel="0" collapsed="false">
      <c r="A12" s="2" t="s">
        <v>128</v>
      </c>
      <c r="B12" s="24" t="n">
        <f aca="false">$B$7*Inputs!$B$16</f>
        <v>22500</v>
      </c>
      <c r="C12" s="25" t="n">
        <f aca="false">IF($B$5=0,0,B12/$B$5)</f>
        <v>50</v>
      </c>
    </row>
    <row r="13" customFormat="false" ht="15" hidden="false" customHeight="false" outlineLevel="0" collapsed="false">
      <c r="A13" s="2" t="s">
        <v>129</v>
      </c>
      <c r="B13" s="24" t="n">
        <f aca="false">$B$8*Inputs!$B$7</f>
        <v>5805</v>
      </c>
      <c r="C13" s="25" t="n">
        <f aca="false">IF($B$5=0,0,B13/$B$5)</f>
        <v>12.9</v>
      </c>
    </row>
    <row r="14" customFormat="false" ht="15" hidden="false" customHeight="false" outlineLevel="0" collapsed="false">
      <c r="A14" s="3" t="s">
        <v>130</v>
      </c>
      <c r="B14" s="26" t="n">
        <f aca="false">$B$11+$B$12+$B$13</f>
        <v>68805</v>
      </c>
      <c r="C14" s="25" t="n">
        <f aca="false">IF($B$5=0,0,B14/$B$5)</f>
        <v>152.9</v>
      </c>
    </row>
    <row r="15" customFormat="false" ht="15" hidden="false" customHeight="false" outlineLevel="0" collapsed="false">
      <c r="A15" s="7"/>
      <c r="B15" s="7"/>
      <c r="C15" s="7"/>
    </row>
    <row r="16" customFormat="false" ht="15" hidden="false" customHeight="false" outlineLevel="0" collapsed="false">
      <c r="A16" s="8" t="s">
        <v>131</v>
      </c>
      <c r="B16" s="8" t="s">
        <v>120</v>
      </c>
      <c r="C16" s="8" t="s">
        <v>121</v>
      </c>
    </row>
    <row r="17" customFormat="false" ht="15" hidden="false" customHeight="false" outlineLevel="0" collapsed="false">
      <c r="A17" s="2" t="s">
        <v>132</v>
      </c>
      <c r="B17" s="24" t="n">
        <f aca="false">($B$11+$B$13)*Inputs!$B$8</f>
        <v>1389.15</v>
      </c>
      <c r="C17" s="25" t="n">
        <f aca="false">IF($B$5=0,0,B17/$B$5)</f>
        <v>3.087</v>
      </c>
    </row>
    <row r="18" customFormat="false" ht="15" hidden="false" customHeight="false" outlineLevel="0" collapsed="false">
      <c r="A18" s="2" t="s">
        <v>133</v>
      </c>
      <c r="B18" s="24" t="n">
        <f aca="false">$B$12*Inputs!$B$19</f>
        <v>2250</v>
      </c>
      <c r="C18" s="25" t="n">
        <f aca="false">IF($B$5=0,0,B18/$B$5)</f>
        <v>5</v>
      </c>
    </row>
    <row r="19" customFormat="false" ht="15" hidden="false" customHeight="false" outlineLevel="0" collapsed="false">
      <c r="A19" s="2" t="s">
        <v>134</v>
      </c>
      <c r="B19" s="24" t="n">
        <f aca="false">$B$8*Inputs!$B$27/60*Inputs!$B$28/Inputs!$B$36*Inputs!$B$34*(1+Inputs!$B$35)</f>
        <v>16911.9</v>
      </c>
      <c r="C19" s="25" t="n">
        <f aca="false">IF($B$5=0,0,B19/$B$5)</f>
        <v>37.582</v>
      </c>
    </row>
    <row r="20" customFormat="false" ht="15" hidden="false" customHeight="false" outlineLevel="0" collapsed="false">
      <c r="A20" s="2" t="s">
        <v>135</v>
      </c>
      <c r="B20" s="24" t="n">
        <f aca="false">$B$8*Inputs!$B$22*Inputs!$B$29*Inputs!$B$30</f>
        <v>3065.04</v>
      </c>
      <c r="C20" s="25" t="n">
        <f aca="false">IF($B$5=0,0,B20/$B$5)</f>
        <v>6.8112</v>
      </c>
    </row>
    <row r="21" customFormat="false" ht="15" hidden="false" customHeight="false" outlineLevel="0" collapsed="false">
      <c r="A21" s="2" t="s">
        <v>136</v>
      </c>
      <c r="B21" s="24" t="n">
        <f aca="false">$B$8*Inputs!$B$22*Inputs!$B$31</f>
        <v>1741.5</v>
      </c>
      <c r="C21" s="25" t="n">
        <f aca="false">IF($B$5=0,0,B21/$B$5)</f>
        <v>3.87</v>
      </c>
    </row>
    <row r="22" customFormat="false" ht="15" hidden="false" customHeight="false" outlineLevel="0" collapsed="false">
      <c r="A22" s="3" t="s">
        <v>137</v>
      </c>
      <c r="B22" s="26" t="n">
        <f aca="false">SUM($B$17:$B$21)</f>
        <v>25357.59</v>
      </c>
      <c r="C22" s="25" t="n">
        <f aca="false">IF($B$5=0,0,B22/$B$5)</f>
        <v>56.3502</v>
      </c>
    </row>
    <row r="23" customFormat="false" ht="15" hidden="false" customHeight="false" outlineLevel="0" collapsed="false">
      <c r="A23" s="3" t="s">
        <v>138</v>
      </c>
      <c r="B23" s="26" t="n">
        <f aca="false">$B$14-$B$22</f>
        <v>43447.41</v>
      </c>
      <c r="C23" s="25" t="n">
        <f aca="false">IF($B$5=0,0,B23/$B$5)</f>
        <v>96.5498</v>
      </c>
    </row>
    <row r="24" customFormat="false" ht="15" hidden="false" customHeight="false" outlineLevel="0" collapsed="false">
      <c r="A24" s="7"/>
      <c r="B24" s="7"/>
      <c r="C24" s="7"/>
    </row>
    <row r="25" customFormat="false" ht="15" hidden="false" customHeight="false" outlineLevel="0" collapsed="false">
      <c r="A25" s="8" t="s">
        <v>139</v>
      </c>
      <c r="B25" s="8" t="s">
        <v>120</v>
      </c>
      <c r="C25" s="8" t="s">
        <v>121</v>
      </c>
    </row>
    <row r="26" customFormat="false" ht="15" hidden="false" customHeight="false" outlineLevel="0" collapsed="false">
      <c r="A26" s="2" t="s">
        <v>140</v>
      </c>
      <c r="B26" s="24" t="n">
        <f aca="false">IF(Inputs!$B$44=2,$B$14*Inputs!$B$45,Inputs!$B$42*Inputs!$B$43/12)</f>
        <v>13750</v>
      </c>
      <c r="C26" s="25" t="n">
        <f aca="false">IF($B$5=0,0,B26/$B$5)</f>
        <v>30.5555555555556</v>
      </c>
    </row>
    <row r="27" customFormat="false" ht="15" hidden="false" customHeight="false" outlineLevel="0" collapsed="false">
      <c r="A27" s="2" t="s">
        <v>141</v>
      </c>
      <c r="B27" s="24" t="n">
        <f aca="false">Inputs!$B$49*(1+Inputs!$B$35)/12</f>
        <v>7666.66666666667</v>
      </c>
      <c r="C27" s="25" t="n">
        <f aca="false">IF($B$5=0,0,B27/$B$5)</f>
        <v>17.037037037037</v>
      </c>
    </row>
    <row r="28" customFormat="false" ht="15" hidden="false" customHeight="false" outlineLevel="0" collapsed="false">
      <c r="A28" s="2" t="s">
        <v>142</v>
      </c>
      <c r="B28" s="24" t="n">
        <f aca="false">Inputs!$B$25*Inputs!$B$26*Inputs!$B$51*Inputs!$B$50*(1+Inputs!$B$35)</f>
        <v>13282.5</v>
      </c>
      <c r="C28" s="25" t="n">
        <f aca="false">IF($B$5=0,0,B28/$B$5)</f>
        <v>29.5166666666667</v>
      </c>
    </row>
    <row r="29" customFormat="false" ht="15" hidden="false" customHeight="false" outlineLevel="0" collapsed="false">
      <c r="A29" s="2" t="s">
        <v>143</v>
      </c>
      <c r="B29" s="24" t="n">
        <f aca="false">Inputs!$B$52*Inputs!$B$53</f>
        <v>3750</v>
      </c>
      <c r="C29" s="25" t="n">
        <f aca="false">IF($B$5=0,0,B29/$B$5)</f>
        <v>8.33333333333333</v>
      </c>
    </row>
    <row r="30" customFormat="false" ht="15" hidden="false" customHeight="false" outlineLevel="0" collapsed="false">
      <c r="A30" s="2" t="s">
        <v>144</v>
      </c>
      <c r="B30" s="24" t="n">
        <f aca="false">Inputs!$B$56+Inputs!$B$57+Inputs!$B$58+Inputs!$B$59+Inputs!$B$60+Inputs!$B$61+Inputs!$B$62</f>
        <v>13000</v>
      </c>
      <c r="C30" s="25" t="n">
        <f aca="false">IF($B$5=0,0,B30/$B$5)</f>
        <v>28.8888888888889</v>
      </c>
    </row>
    <row r="31" customFormat="false" ht="15" hidden="false" customHeight="false" outlineLevel="0" collapsed="false">
      <c r="A31" s="3" t="s">
        <v>145</v>
      </c>
      <c r="B31" s="26" t="n">
        <f aca="false">SUM($B$26:$B$30)</f>
        <v>51449.1666666667</v>
      </c>
      <c r="C31" s="25" t="n">
        <f aca="false">IF($B$5=0,0,B31/$B$5)</f>
        <v>114.331481481481</v>
      </c>
    </row>
    <row r="32" customFormat="false" ht="15" hidden="false" customHeight="false" outlineLevel="0" collapsed="false">
      <c r="A32" s="7"/>
      <c r="B32" s="7"/>
      <c r="C32" s="7"/>
    </row>
    <row r="33" customFormat="false" ht="15" hidden="false" customHeight="false" outlineLevel="0" collapsed="false">
      <c r="A33" s="8" t="s">
        <v>146</v>
      </c>
      <c r="B33" s="8" t="s">
        <v>120</v>
      </c>
      <c r="C33" s="8" t="s">
        <v>121</v>
      </c>
    </row>
    <row r="34" customFormat="false" ht="15" hidden="false" customHeight="false" outlineLevel="0" collapsed="false">
      <c r="A34" s="3" t="s">
        <v>147</v>
      </c>
      <c r="B34" s="26" t="n">
        <f aca="false">$B$23-$B$31</f>
        <v>-8001.75666666666</v>
      </c>
      <c r="C34" s="25" t="n">
        <f aca="false">IF($B$5=0,0,B34/$B$5)</f>
        <v>-17.7816814814815</v>
      </c>
    </row>
    <row r="35" customFormat="false" ht="15" hidden="false" customHeight="false" outlineLevel="0" collapsed="false">
      <c r="A35" s="3" t="s">
        <v>148</v>
      </c>
      <c r="B35" s="27" t="n">
        <f aca="false">IF($B$14=0,0,$B$34/$B$14)</f>
        <v>-0.116296150958021</v>
      </c>
      <c r="C35" s="7"/>
    </row>
    <row r="36" customFormat="false" ht="15" hidden="false" customHeight="false" outlineLevel="0" collapsed="false">
      <c r="A36" s="3" t="s">
        <v>149</v>
      </c>
      <c r="B36" s="26" t="n">
        <f aca="false">$B$34*12</f>
        <v>-96021.0799999999</v>
      </c>
      <c r="C36" s="7"/>
    </row>
    <row r="37" customFormat="false" ht="15" hidden="false" customHeight="false" outlineLevel="0" collapsed="false">
      <c r="A37" s="7"/>
      <c r="B37" s="7"/>
      <c r="C37" s="7"/>
    </row>
    <row r="38" customFormat="false" ht="15" hidden="false" customHeight="false" outlineLevel="0" collapsed="false">
      <c r="A38" s="8" t="s">
        <v>150</v>
      </c>
      <c r="B38" s="8" t="s">
        <v>120</v>
      </c>
      <c r="C38" s="8" t="s">
        <v>121</v>
      </c>
    </row>
    <row r="39" customFormat="false" ht="15" hidden="false" customHeight="false" outlineLevel="0" collapsed="false">
      <c r="A39" s="2" t="s">
        <v>151</v>
      </c>
      <c r="B39" s="28" t="n">
        <f aca="false">Inputs!$B$27/60*Inputs!$B$28/Inputs!$B$36*Inputs!$B$34*(1+Inputs!$B$35)</f>
        <v>43.7</v>
      </c>
      <c r="C39" s="7"/>
    </row>
    <row r="40" customFormat="false" ht="15" hidden="false" customHeight="false" outlineLevel="0" collapsed="false">
      <c r="A40" s="2" t="s">
        <v>152</v>
      </c>
      <c r="B40" s="28" t="n">
        <f aca="false">Inputs!$B$22*(Inputs!$B$29*Inputs!$B$30+Inputs!$B$31)</f>
        <v>12.42</v>
      </c>
      <c r="C40" s="7"/>
    </row>
    <row r="41" customFormat="false" ht="15" hidden="false" customHeight="false" outlineLevel="0" collapsed="false">
      <c r="A41" s="2" t="s">
        <v>153</v>
      </c>
      <c r="B41" s="28" t="n">
        <f aca="false">(Inputs!$B$6+Inputs!$B$7)*(1-Inputs!$B$8)-$B$39-$B$40</f>
        <v>103.93</v>
      </c>
      <c r="C41" s="7"/>
    </row>
    <row r="42" customFormat="false" ht="15" hidden="false" customHeight="false" outlineLevel="0" collapsed="false">
      <c r="A42" s="2" t="s">
        <v>154</v>
      </c>
      <c r="B42" s="28" t="n">
        <f aca="false">Inputs!$B$16*(1-Inputs!$B$19)+Inputs!$B$17*(Inputs!$B$7*(1-Inputs!$B$8)-$B$39-$B$40)</f>
        <v>85.4795</v>
      </c>
      <c r="C42" s="7"/>
    </row>
    <row r="43" customFormat="false" ht="15" hidden="false" customHeight="false" outlineLevel="0" collapsed="false">
      <c r="A43" s="3" t="s">
        <v>155</v>
      </c>
      <c r="B43" s="29" t="n">
        <f aca="false">(1-Inputs!$B$15)*$B$41+Inputs!$B$15*$B$42</f>
        <v>96.5498</v>
      </c>
      <c r="C43" s="7"/>
    </row>
    <row r="44" customFormat="false" ht="15" hidden="false" customHeight="false" outlineLevel="0" collapsed="false">
      <c r="A44" s="2" t="s">
        <v>156</v>
      </c>
      <c r="B44" s="28" t="n">
        <f aca="false">(1-Inputs!$B$15)*(Inputs!$B$6+Inputs!$B$7)+Inputs!$B$15*(Inputs!$B$16+Inputs!$B$17*Inputs!$B$7)</f>
        <v>152.9</v>
      </c>
      <c r="C44" s="7"/>
    </row>
    <row r="45" customFormat="false" ht="15" hidden="false" customHeight="false" outlineLevel="0" collapsed="false">
      <c r="A45" s="2" t="s">
        <v>157</v>
      </c>
      <c r="B45" s="28" t="n">
        <f aca="false">$B$44-$B$43</f>
        <v>56.3502</v>
      </c>
      <c r="C45" s="7"/>
    </row>
    <row r="46" customFormat="false" ht="15" hidden="false" customHeight="false" outlineLevel="0" collapsed="false">
      <c r="A46" s="2" t="s">
        <v>158</v>
      </c>
      <c r="B46" s="30" t="n">
        <f aca="false">(1-Inputs!$B$15)*Inputs!$B$12+Inputs!$B$15*Inputs!$B$18</f>
        <v>0.03</v>
      </c>
      <c r="C46" s="7"/>
    </row>
    <row r="47" customFormat="false" ht="15" hidden="false" customHeight="false" outlineLevel="0" collapsed="false">
      <c r="A47" s="2" t="s">
        <v>159</v>
      </c>
      <c r="B47" s="24" t="n">
        <f aca="false">$B$31-$B$26+Inputs!$B$42*Inputs!$B$43/12</f>
        <v>51449.1666666667</v>
      </c>
      <c r="C47" s="7"/>
    </row>
    <row r="48" customFormat="false" ht="15" hidden="false" customHeight="false" outlineLevel="0" collapsed="false">
      <c r="A48" s="3" t="s">
        <v>160</v>
      </c>
      <c r="B48" s="31" t="n">
        <f aca="false">IF($B$43&lt;=0,"Never",ROUNDUP($B$47/$B$43,0))</f>
        <v>533</v>
      </c>
      <c r="C48" s="7"/>
    </row>
    <row r="49" customFormat="false" ht="15" hidden="false" customHeight="false" outlineLevel="0" collapsed="false">
      <c r="A49" s="3" t="s">
        <v>161</v>
      </c>
      <c r="B49" s="31" t="n">
        <f aca="false">IF($B$43-$B$44*Inputs!$B$45&lt;=0,"Never",ROUNDUP(($B$47-Inputs!$B$42*Inputs!$B$43/12)/($B$43-$B$44*Inputs!$B$45),0))</f>
        <v>547</v>
      </c>
      <c r="C49" s="7"/>
    </row>
    <row r="50" customFormat="false" ht="15" hidden="false" customHeight="false" outlineLevel="0" collapsed="false">
      <c r="A50" s="7"/>
      <c r="B50" s="7"/>
      <c r="C50" s="7"/>
    </row>
    <row r="51" customFormat="false" ht="15" hidden="false" customHeight="false" outlineLevel="0" collapsed="false">
      <c r="A51" s="8" t="s">
        <v>162</v>
      </c>
      <c r="B51" s="8" t="s">
        <v>120</v>
      </c>
      <c r="C51" s="8" t="s">
        <v>121</v>
      </c>
    </row>
    <row r="52" customFormat="false" ht="15" hidden="false" customHeight="false" outlineLevel="0" collapsed="false">
      <c r="A52" s="2" t="s">
        <v>163</v>
      </c>
      <c r="B52" s="32" t="n">
        <f aca="false">$B$8*Inputs!$B$22/Inputs!$B$26*Inputs!$B$23/Inputs!$B$25*Inputs!$B$24</f>
        <v>20.7321428571429</v>
      </c>
      <c r="C52" s="7"/>
    </row>
    <row r="53" customFormat="false" ht="15" hidden="false" customHeight="false" outlineLevel="0" collapsed="false">
      <c r="A53" s="2" t="s">
        <v>83</v>
      </c>
      <c r="B53" s="22" t="n">
        <f aca="false">Inputs!$B$46</f>
        <v>45</v>
      </c>
      <c r="C53" s="7"/>
    </row>
    <row r="54" customFormat="false" ht="15" hidden="false" customHeight="false" outlineLevel="0" collapsed="false">
      <c r="A54" s="3" t="s">
        <v>164</v>
      </c>
      <c r="B54" s="33" t="str">
        <f aca="false">IF($B$52&lt;=$B$53,"OK","Over capacity")</f>
        <v>OK</v>
      </c>
      <c r="C54" s="7"/>
    </row>
    <row r="55" customFormat="false" ht="15" hidden="false" customHeight="false" outlineLevel="0" collapsed="false">
      <c r="A55" s="2" t="s">
        <v>165</v>
      </c>
      <c r="B55" s="23" t="n">
        <f aca="false">$B$8*Inputs!$B$27/60*Inputs!$B$28</f>
        <v>290.25</v>
      </c>
      <c r="C55" s="7"/>
    </row>
    <row r="56" customFormat="false" ht="15" hidden="false" customHeight="false" outlineLevel="0" collapsed="false">
      <c r="A56" s="2" t="s">
        <v>166</v>
      </c>
      <c r="B56" s="23" t="n">
        <f aca="false">Inputs!$B$38*Inputs!$B$25*Inputs!$B$26*Inputs!$B$39</f>
        <v>1092</v>
      </c>
      <c r="C56" s="7"/>
    </row>
    <row r="57" customFormat="false" ht="15" hidden="false" customHeight="false" outlineLevel="0" collapsed="false">
      <c r="A57" s="3" t="s">
        <v>167</v>
      </c>
      <c r="B57" s="33" t="str">
        <f aca="false">IF($B$55&lt;=$B$56,"OK","Need more rooms")</f>
        <v>OK</v>
      </c>
      <c r="C57" s="7"/>
    </row>
    <row r="58" customFormat="false" ht="15" hidden="false" customHeight="false" outlineLevel="0" collapsed="false">
      <c r="A58" s="2" t="s">
        <v>168</v>
      </c>
      <c r="B58" s="23" t="n">
        <f aca="false">IF(Inputs!$B$27*Inputs!$B$28=0,0,ROUNDDOWN($B$56/(Inputs!$B$27/60*Inputs!$B$28),0))</f>
        <v>1456</v>
      </c>
      <c r="C58" s="7"/>
    </row>
    <row r="59" customFormat="false" ht="15" hidden="false" customHeight="false" outlineLevel="0" collapsed="false">
      <c r="A59" s="2" t="s">
        <v>169</v>
      </c>
      <c r="B59" s="23" t="n">
        <f aca="false">ROUNDUP($B$55/Inputs!$B$36/Inputs!$B$37,0)</f>
        <v>5</v>
      </c>
      <c r="C59" s="7"/>
    </row>
    <row r="60" customFormat="false" ht="15" hidden="false" customHeight="false" outlineLevel="0" collapsed="false">
      <c r="A60" s="7"/>
      <c r="B60" s="7"/>
      <c r="C60" s="7"/>
    </row>
    <row r="61" customFormat="false" ht="15" hidden="false" customHeight="false" outlineLevel="0" collapsed="false">
      <c r="A61" s="8" t="s">
        <v>170</v>
      </c>
      <c r="B61" s="8" t="s">
        <v>120</v>
      </c>
      <c r="C61" s="8" t="s">
        <v>121</v>
      </c>
    </row>
    <row r="62" customFormat="false" ht="15" hidden="false" customHeight="false" outlineLevel="0" collapsed="false">
      <c r="A62" s="2" t="s">
        <v>171</v>
      </c>
      <c r="B62" s="24" t="n">
        <f aca="false">Inputs!$B$42*MAX(0,Inputs!$B$65-Inputs!$B$66)</f>
        <v>240000</v>
      </c>
      <c r="C62" s="7"/>
    </row>
    <row r="63" customFormat="false" ht="15" hidden="false" customHeight="false" outlineLevel="0" collapsed="false">
      <c r="A63" s="2" t="s">
        <v>104</v>
      </c>
      <c r="B63" s="34" t="n">
        <f aca="false">Inputs!$B$67</f>
        <v>90000</v>
      </c>
      <c r="C63" s="7"/>
    </row>
    <row r="64" customFormat="false" ht="15" hidden="false" customHeight="false" outlineLevel="0" collapsed="false">
      <c r="A64" s="2" t="s">
        <v>172</v>
      </c>
      <c r="B64" s="34" t="n">
        <f aca="false">Inputs!$B$68</f>
        <v>70000</v>
      </c>
      <c r="C64" s="7"/>
    </row>
    <row r="65" customFormat="false" ht="15" hidden="false" customHeight="false" outlineLevel="0" collapsed="false">
      <c r="A65" s="3" t="s">
        <v>173</v>
      </c>
      <c r="B65" s="26" t="n">
        <f aca="false">SUM($B$62:$B$64)</f>
        <v>400000</v>
      </c>
      <c r="C65" s="7"/>
    </row>
    <row r="66" customFormat="false" ht="15" hidden="false" customHeight="false" outlineLevel="0" collapsed="false">
      <c r="A66" s="3" t="s">
        <v>174</v>
      </c>
      <c r="B66" s="35" t="str">
        <f aca="false">IF($B$36&lt;=0,"Never",$B$65/$B$36)</f>
        <v>Never</v>
      </c>
      <c r="C66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8" min="2" style="0" width="11"/>
  </cols>
  <sheetData>
    <row r="1" customFormat="false" ht="17.35" hidden="false" customHeight="false" outlineLevel="0" collapsed="false">
      <c r="A1" s="1" t="s">
        <v>175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5" hidden="false" customHeight="false" outlineLevel="0" collapsed="false">
      <c r="A2" s="12" t="s">
        <v>176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5" hidden="false" customHeight="false" outlineLevel="0" collapsed="false">
      <c r="A4" s="3" t="s">
        <v>177</v>
      </c>
      <c r="B4" s="9" t="n">
        <v>0</v>
      </c>
      <c r="C4" s="9" t="n">
        <v>1</v>
      </c>
      <c r="D4" s="9" t="n">
        <v>2</v>
      </c>
      <c r="E4" s="9" t="n">
        <v>3</v>
      </c>
      <c r="F4" s="9" t="n">
        <v>4</v>
      </c>
      <c r="G4" s="9" t="n">
        <v>5</v>
      </c>
      <c r="H4" s="9" t="n">
        <v>6</v>
      </c>
      <c r="I4" s="9" t="n">
        <v>7</v>
      </c>
      <c r="J4" s="9" t="n">
        <v>8</v>
      </c>
      <c r="K4" s="9" t="n">
        <v>9</v>
      </c>
      <c r="L4" s="9" t="n">
        <v>10</v>
      </c>
      <c r="M4" s="9" t="n">
        <v>11</v>
      </c>
      <c r="N4" s="9" t="n">
        <v>12</v>
      </c>
      <c r="O4" s="9" t="n">
        <v>13</v>
      </c>
      <c r="P4" s="9" t="n">
        <v>14</v>
      </c>
      <c r="Q4" s="9" t="n">
        <v>15</v>
      </c>
      <c r="R4" s="9" t="n">
        <v>16</v>
      </c>
      <c r="S4" s="9" t="n">
        <v>17</v>
      </c>
      <c r="T4" s="9" t="n">
        <v>18</v>
      </c>
      <c r="U4" s="9" t="n">
        <v>19</v>
      </c>
      <c r="V4" s="9" t="n">
        <v>20</v>
      </c>
      <c r="W4" s="9" t="n">
        <v>21</v>
      </c>
      <c r="X4" s="9" t="n">
        <v>22</v>
      </c>
      <c r="Y4" s="9" t="n">
        <v>23</v>
      </c>
      <c r="Z4" s="9" t="n">
        <v>24</v>
      </c>
      <c r="AA4" s="9" t="n">
        <v>25</v>
      </c>
      <c r="AB4" s="9" t="n">
        <v>26</v>
      </c>
      <c r="AC4" s="9" t="n">
        <v>27</v>
      </c>
      <c r="AD4" s="9" t="n">
        <v>28</v>
      </c>
      <c r="AE4" s="9" t="n">
        <v>29</v>
      </c>
      <c r="AF4" s="9" t="n">
        <v>30</v>
      </c>
      <c r="AG4" s="9" t="n">
        <v>31</v>
      </c>
      <c r="AH4" s="9" t="n">
        <v>32</v>
      </c>
      <c r="AI4" s="9" t="n">
        <v>33</v>
      </c>
      <c r="AJ4" s="9" t="n">
        <v>34</v>
      </c>
      <c r="AK4" s="9" t="n">
        <v>35</v>
      </c>
      <c r="AL4" s="9" t="n">
        <v>36</v>
      </c>
    </row>
    <row r="5" customFormat="false" ht="15" hidden="false" customHeight="false" outlineLevel="0" collapsed="false">
      <c r="A5" s="2" t="s">
        <v>119</v>
      </c>
      <c r="B5" s="23" t="n">
        <v>0</v>
      </c>
      <c r="C5" s="23" t="n">
        <f aca="false">Inputs!$B$10</f>
        <v>100</v>
      </c>
      <c r="D5" s="23" t="n">
        <f aca="false">MIN(Inputs!$B$9,C5*(1-'Unit Economics'!$B$46)+Inputs!$B$11)</f>
        <v>137</v>
      </c>
      <c r="E5" s="23" t="n">
        <f aca="false">MIN(Inputs!$B$9,D5*(1-'Unit Economics'!$B$46)+Inputs!$B$11)</f>
        <v>172.89</v>
      </c>
      <c r="F5" s="23" t="n">
        <f aca="false">MIN(Inputs!$B$9,E5*(1-'Unit Economics'!$B$46)+Inputs!$B$11)</f>
        <v>207.7033</v>
      </c>
      <c r="G5" s="23" t="n">
        <f aca="false">MIN(Inputs!$B$9,F5*(1-'Unit Economics'!$B$46)+Inputs!$B$11)</f>
        <v>241.472201</v>
      </c>
      <c r="H5" s="23" t="n">
        <f aca="false">MIN(Inputs!$B$9,G5*(1-'Unit Economics'!$B$46)+Inputs!$B$11)</f>
        <v>274.22803497</v>
      </c>
      <c r="I5" s="23" t="n">
        <f aca="false">MIN(Inputs!$B$9,H5*(1-'Unit Economics'!$B$46)+Inputs!$B$11)</f>
        <v>306.0011939209</v>
      </c>
      <c r="J5" s="23" t="n">
        <f aca="false">MIN(Inputs!$B$9,I5*(1-'Unit Economics'!$B$46)+Inputs!$B$11)</f>
        <v>336.821158103273</v>
      </c>
      <c r="K5" s="23" t="n">
        <f aca="false">MIN(Inputs!$B$9,J5*(1-'Unit Economics'!$B$46)+Inputs!$B$11)</f>
        <v>366.716523360175</v>
      </c>
      <c r="L5" s="23" t="n">
        <f aca="false">MIN(Inputs!$B$9,K5*(1-'Unit Economics'!$B$46)+Inputs!$B$11)</f>
        <v>395.715027659369</v>
      </c>
      <c r="M5" s="23" t="n">
        <f aca="false">MIN(Inputs!$B$9,L5*(1-'Unit Economics'!$B$46)+Inputs!$B$11)</f>
        <v>423.843576829588</v>
      </c>
      <c r="N5" s="23" t="n">
        <f aca="false">MIN(Inputs!$B$9,M5*(1-'Unit Economics'!$B$46)+Inputs!$B$11)</f>
        <v>450</v>
      </c>
      <c r="O5" s="23" t="n">
        <f aca="false">MIN(Inputs!$B$9,N5*(1-'Unit Economics'!$B$46)+Inputs!$B$11)</f>
        <v>450</v>
      </c>
      <c r="P5" s="23" t="n">
        <f aca="false">MIN(Inputs!$B$9,O5*(1-'Unit Economics'!$B$46)+Inputs!$B$11)</f>
        <v>450</v>
      </c>
      <c r="Q5" s="23" t="n">
        <f aca="false">MIN(Inputs!$B$9,P5*(1-'Unit Economics'!$B$46)+Inputs!$B$11)</f>
        <v>450</v>
      </c>
      <c r="R5" s="23" t="n">
        <f aca="false">MIN(Inputs!$B$9,Q5*(1-'Unit Economics'!$B$46)+Inputs!$B$11)</f>
        <v>450</v>
      </c>
      <c r="S5" s="23" t="n">
        <f aca="false">MIN(Inputs!$B$9,R5*(1-'Unit Economics'!$B$46)+Inputs!$B$11)</f>
        <v>450</v>
      </c>
      <c r="T5" s="23" t="n">
        <f aca="false">MIN(Inputs!$B$9,S5*(1-'Unit Economics'!$B$46)+Inputs!$B$11)</f>
        <v>450</v>
      </c>
      <c r="U5" s="23" t="n">
        <f aca="false">MIN(Inputs!$B$9,T5*(1-'Unit Economics'!$B$46)+Inputs!$B$11)</f>
        <v>450</v>
      </c>
      <c r="V5" s="23" t="n">
        <f aca="false">MIN(Inputs!$B$9,U5*(1-'Unit Economics'!$B$46)+Inputs!$B$11)</f>
        <v>450</v>
      </c>
      <c r="W5" s="23" t="n">
        <f aca="false">MIN(Inputs!$B$9,V5*(1-'Unit Economics'!$B$46)+Inputs!$B$11)</f>
        <v>450</v>
      </c>
      <c r="X5" s="23" t="n">
        <f aca="false">MIN(Inputs!$B$9,W5*(1-'Unit Economics'!$B$46)+Inputs!$B$11)</f>
        <v>450</v>
      </c>
      <c r="Y5" s="23" t="n">
        <f aca="false">MIN(Inputs!$B$9,X5*(1-'Unit Economics'!$B$46)+Inputs!$B$11)</f>
        <v>450</v>
      </c>
      <c r="Z5" s="23" t="n">
        <f aca="false">MIN(Inputs!$B$9,Y5*(1-'Unit Economics'!$B$46)+Inputs!$B$11)</f>
        <v>450</v>
      </c>
      <c r="AA5" s="23" t="n">
        <f aca="false">MIN(Inputs!$B$9,Z5*(1-'Unit Economics'!$B$46)+Inputs!$B$11)</f>
        <v>450</v>
      </c>
      <c r="AB5" s="23" t="n">
        <f aca="false">MIN(Inputs!$B$9,AA5*(1-'Unit Economics'!$B$46)+Inputs!$B$11)</f>
        <v>450</v>
      </c>
      <c r="AC5" s="23" t="n">
        <f aca="false">MIN(Inputs!$B$9,AB5*(1-'Unit Economics'!$B$46)+Inputs!$B$11)</f>
        <v>450</v>
      </c>
      <c r="AD5" s="23" t="n">
        <f aca="false">MIN(Inputs!$B$9,AC5*(1-'Unit Economics'!$B$46)+Inputs!$B$11)</f>
        <v>450</v>
      </c>
      <c r="AE5" s="23" t="n">
        <f aca="false">MIN(Inputs!$B$9,AD5*(1-'Unit Economics'!$B$46)+Inputs!$B$11)</f>
        <v>450</v>
      </c>
      <c r="AF5" s="23" t="n">
        <f aca="false">MIN(Inputs!$B$9,AE5*(1-'Unit Economics'!$B$46)+Inputs!$B$11)</f>
        <v>450</v>
      </c>
      <c r="AG5" s="23" t="n">
        <f aca="false">MIN(Inputs!$B$9,AF5*(1-'Unit Economics'!$B$46)+Inputs!$B$11)</f>
        <v>450</v>
      </c>
      <c r="AH5" s="23" t="n">
        <f aca="false">MIN(Inputs!$B$9,AG5*(1-'Unit Economics'!$B$46)+Inputs!$B$11)</f>
        <v>450</v>
      </c>
      <c r="AI5" s="23" t="n">
        <f aca="false">MIN(Inputs!$B$9,AH5*(1-'Unit Economics'!$B$46)+Inputs!$B$11)</f>
        <v>450</v>
      </c>
      <c r="AJ5" s="23" t="n">
        <f aca="false">MIN(Inputs!$B$9,AI5*(1-'Unit Economics'!$B$46)+Inputs!$B$11)</f>
        <v>450</v>
      </c>
      <c r="AK5" s="23" t="n">
        <f aca="false">MIN(Inputs!$B$9,AJ5*(1-'Unit Economics'!$B$46)+Inputs!$B$11)</f>
        <v>450</v>
      </c>
      <c r="AL5" s="23" t="n">
        <f aca="false">MIN(Inputs!$B$9,AK5*(1-'Unit Economics'!$B$46)+Inputs!$B$11)</f>
        <v>450</v>
      </c>
    </row>
    <row r="6" customFormat="false" ht="15" hidden="false" customHeight="false" outlineLevel="0" collapsed="false">
      <c r="A6" s="2" t="s">
        <v>126</v>
      </c>
      <c r="B6" s="24" t="n">
        <v>0</v>
      </c>
      <c r="C6" s="24" t="n">
        <f aca="false">C5*'Unit Economics'!$B$44</f>
        <v>15290</v>
      </c>
      <c r="D6" s="24" t="n">
        <f aca="false">D5*'Unit Economics'!$B$44</f>
        <v>20947.3</v>
      </c>
      <c r="E6" s="24" t="n">
        <f aca="false">E5*'Unit Economics'!$B$44</f>
        <v>26434.881</v>
      </c>
      <c r="F6" s="24" t="n">
        <f aca="false">F5*'Unit Economics'!$B$44</f>
        <v>31757.83457</v>
      </c>
      <c r="G6" s="24" t="n">
        <f aca="false">G5*'Unit Economics'!$B$44</f>
        <v>36921.0995329</v>
      </c>
      <c r="H6" s="24" t="n">
        <f aca="false">H5*'Unit Economics'!$B$44</f>
        <v>41929.466546913</v>
      </c>
      <c r="I6" s="24" t="n">
        <f aca="false">I5*'Unit Economics'!$B$44</f>
        <v>46787.5825505056</v>
      </c>
      <c r="J6" s="24" t="n">
        <f aca="false">J5*'Unit Economics'!$B$44</f>
        <v>51499.9550739904</v>
      </c>
      <c r="K6" s="24" t="n">
        <f aca="false">K5*'Unit Economics'!$B$44</f>
        <v>56070.9564217707</v>
      </c>
      <c r="L6" s="24" t="n">
        <f aca="false">L5*'Unit Economics'!$B$44</f>
        <v>60504.8277291176</v>
      </c>
      <c r="M6" s="24" t="n">
        <f aca="false">M5*'Unit Economics'!$B$44</f>
        <v>64805.6828972441</v>
      </c>
      <c r="N6" s="24" t="n">
        <f aca="false">N5*'Unit Economics'!$B$44</f>
        <v>68805</v>
      </c>
      <c r="O6" s="24" t="n">
        <f aca="false">O5*'Unit Economics'!$B$44</f>
        <v>68805</v>
      </c>
      <c r="P6" s="24" t="n">
        <f aca="false">P5*'Unit Economics'!$B$44</f>
        <v>68805</v>
      </c>
      <c r="Q6" s="24" t="n">
        <f aca="false">Q5*'Unit Economics'!$B$44</f>
        <v>68805</v>
      </c>
      <c r="R6" s="24" t="n">
        <f aca="false">R5*'Unit Economics'!$B$44</f>
        <v>68805</v>
      </c>
      <c r="S6" s="24" t="n">
        <f aca="false">S5*'Unit Economics'!$B$44</f>
        <v>68805</v>
      </c>
      <c r="T6" s="24" t="n">
        <f aca="false">T5*'Unit Economics'!$B$44</f>
        <v>68805</v>
      </c>
      <c r="U6" s="24" t="n">
        <f aca="false">U5*'Unit Economics'!$B$44</f>
        <v>68805</v>
      </c>
      <c r="V6" s="24" t="n">
        <f aca="false">V5*'Unit Economics'!$B$44</f>
        <v>68805</v>
      </c>
      <c r="W6" s="24" t="n">
        <f aca="false">W5*'Unit Economics'!$B$44</f>
        <v>68805</v>
      </c>
      <c r="X6" s="24" t="n">
        <f aca="false">X5*'Unit Economics'!$B$44</f>
        <v>68805</v>
      </c>
      <c r="Y6" s="24" t="n">
        <f aca="false">Y5*'Unit Economics'!$B$44</f>
        <v>68805</v>
      </c>
      <c r="Z6" s="24" t="n">
        <f aca="false">Z5*'Unit Economics'!$B$44</f>
        <v>68805</v>
      </c>
      <c r="AA6" s="24" t="n">
        <f aca="false">AA5*'Unit Economics'!$B$44</f>
        <v>68805</v>
      </c>
      <c r="AB6" s="24" t="n">
        <f aca="false">AB5*'Unit Economics'!$B$44</f>
        <v>68805</v>
      </c>
      <c r="AC6" s="24" t="n">
        <f aca="false">AC5*'Unit Economics'!$B$44</f>
        <v>68805</v>
      </c>
      <c r="AD6" s="24" t="n">
        <f aca="false">AD5*'Unit Economics'!$B$44</f>
        <v>68805</v>
      </c>
      <c r="AE6" s="24" t="n">
        <f aca="false">AE5*'Unit Economics'!$B$44</f>
        <v>68805</v>
      </c>
      <c r="AF6" s="24" t="n">
        <f aca="false">AF5*'Unit Economics'!$B$44</f>
        <v>68805</v>
      </c>
      <c r="AG6" s="24" t="n">
        <f aca="false">AG5*'Unit Economics'!$B$44</f>
        <v>68805</v>
      </c>
      <c r="AH6" s="24" t="n">
        <f aca="false">AH5*'Unit Economics'!$B$44</f>
        <v>68805</v>
      </c>
      <c r="AI6" s="24" t="n">
        <f aca="false">AI5*'Unit Economics'!$B$44</f>
        <v>68805</v>
      </c>
      <c r="AJ6" s="24" t="n">
        <f aca="false">AJ5*'Unit Economics'!$B$44</f>
        <v>68805</v>
      </c>
      <c r="AK6" s="24" t="n">
        <f aca="false">AK5*'Unit Economics'!$B$44</f>
        <v>68805</v>
      </c>
      <c r="AL6" s="24" t="n">
        <f aca="false">AL5*'Unit Economics'!$B$44</f>
        <v>68805</v>
      </c>
    </row>
    <row r="7" customFormat="false" ht="15" hidden="false" customHeight="false" outlineLevel="0" collapsed="false">
      <c r="A7" s="2" t="s">
        <v>178</v>
      </c>
      <c r="B7" s="24" t="n">
        <v>0</v>
      </c>
      <c r="C7" s="24" t="n">
        <f aca="false">C5*'Unit Economics'!$B$45</f>
        <v>5635.02</v>
      </c>
      <c r="D7" s="24" t="n">
        <f aca="false">D5*'Unit Economics'!$B$45</f>
        <v>7719.9774</v>
      </c>
      <c r="E7" s="24" t="n">
        <f aca="false">E5*'Unit Economics'!$B$45</f>
        <v>9742.386078</v>
      </c>
      <c r="F7" s="24" t="n">
        <f aca="false">F5*'Unit Economics'!$B$45</f>
        <v>11704.12249566</v>
      </c>
      <c r="G7" s="24" t="n">
        <f aca="false">G5*'Unit Economics'!$B$45</f>
        <v>13607.0068207902</v>
      </c>
      <c r="H7" s="24" t="n">
        <f aca="false">H5*'Unit Economics'!$B$45</f>
        <v>15452.8046161665</v>
      </c>
      <c r="I7" s="24" t="n">
        <f aca="false">I5*'Unit Economics'!$B$45</f>
        <v>17243.2284776815</v>
      </c>
      <c r="J7" s="24" t="n">
        <f aca="false">J5*'Unit Economics'!$B$45</f>
        <v>18979.9396233511</v>
      </c>
      <c r="K7" s="24" t="n">
        <f aca="false">K5*'Unit Economics'!$B$45</f>
        <v>20664.5494346505</v>
      </c>
      <c r="L7" s="24" t="n">
        <f aca="false">L5*'Unit Economics'!$B$45</f>
        <v>22298.620951611</v>
      </c>
      <c r="M7" s="24" t="n">
        <f aca="false">M5*'Unit Economics'!$B$45</f>
        <v>23883.6703230627</v>
      </c>
      <c r="N7" s="24" t="n">
        <f aca="false">N5*'Unit Economics'!$B$45</f>
        <v>25357.59</v>
      </c>
      <c r="O7" s="24" t="n">
        <f aca="false">O5*'Unit Economics'!$B$45</f>
        <v>25357.59</v>
      </c>
      <c r="P7" s="24" t="n">
        <f aca="false">P5*'Unit Economics'!$B$45</f>
        <v>25357.59</v>
      </c>
      <c r="Q7" s="24" t="n">
        <f aca="false">Q5*'Unit Economics'!$B$45</f>
        <v>25357.59</v>
      </c>
      <c r="R7" s="24" t="n">
        <f aca="false">R5*'Unit Economics'!$B$45</f>
        <v>25357.59</v>
      </c>
      <c r="S7" s="24" t="n">
        <f aca="false">S5*'Unit Economics'!$B$45</f>
        <v>25357.59</v>
      </c>
      <c r="T7" s="24" t="n">
        <f aca="false">T5*'Unit Economics'!$B$45</f>
        <v>25357.59</v>
      </c>
      <c r="U7" s="24" t="n">
        <f aca="false">U5*'Unit Economics'!$B$45</f>
        <v>25357.59</v>
      </c>
      <c r="V7" s="24" t="n">
        <f aca="false">V5*'Unit Economics'!$B$45</f>
        <v>25357.59</v>
      </c>
      <c r="W7" s="24" t="n">
        <f aca="false">W5*'Unit Economics'!$B$45</f>
        <v>25357.59</v>
      </c>
      <c r="X7" s="24" t="n">
        <f aca="false">X5*'Unit Economics'!$B$45</f>
        <v>25357.59</v>
      </c>
      <c r="Y7" s="24" t="n">
        <f aca="false">Y5*'Unit Economics'!$B$45</f>
        <v>25357.59</v>
      </c>
      <c r="Z7" s="24" t="n">
        <f aca="false">Z5*'Unit Economics'!$B$45</f>
        <v>25357.59</v>
      </c>
      <c r="AA7" s="24" t="n">
        <f aca="false">AA5*'Unit Economics'!$B$45</f>
        <v>25357.59</v>
      </c>
      <c r="AB7" s="24" t="n">
        <f aca="false">AB5*'Unit Economics'!$B$45</f>
        <v>25357.59</v>
      </c>
      <c r="AC7" s="24" t="n">
        <f aca="false">AC5*'Unit Economics'!$B$45</f>
        <v>25357.59</v>
      </c>
      <c r="AD7" s="24" t="n">
        <f aca="false">AD5*'Unit Economics'!$B$45</f>
        <v>25357.59</v>
      </c>
      <c r="AE7" s="24" t="n">
        <f aca="false">AE5*'Unit Economics'!$B$45</f>
        <v>25357.59</v>
      </c>
      <c r="AF7" s="24" t="n">
        <f aca="false">AF5*'Unit Economics'!$B$45</f>
        <v>25357.59</v>
      </c>
      <c r="AG7" s="24" t="n">
        <f aca="false">AG5*'Unit Economics'!$B$45</f>
        <v>25357.59</v>
      </c>
      <c r="AH7" s="24" t="n">
        <f aca="false">AH5*'Unit Economics'!$B$45</f>
        <v>25357.59</v>
      </c>
      <c r="AI7" s="24" t="n">
        <f aca="false">AI5*'Unit Economics'!$B$45</f>
        <v>25357.59</v>
      </c>
      <c r="AJ7" s="24" t="n">
        <f aca="false">AJ5*'Unit Economics'!$B$45</f>
        <v>25357.59</v>
      </c>
      <c r="AK7" s="24" t="n">
        <f aca="false">AK5*'Unit Economics'!$B$45</f>
        <v>25357.59</v>
      </c>
      <c r="AL7" s="24" t="n">
        <f aca="false">AL5*'Unit Economics'!$B$45</f>
        <v>25357.59</v>
      </c>
    </row>
    <row r="8" customFormat="false" ht="15" hidden="false" customHeight="false" outlineLevel="0" collapsed="false">
      <c r="A8" s="2" t="s">
        <v>140</v>
      </c>
      <c r="B8" s="24" t="n">
        <v>0</v>
      </c>
      <c r="C8" s="24" t="n">
        <f aca="false">IF(Inputs!$B$44=2,C6*Inputs!$B$45,Inputs!$B$42*Inputs!$B$43/12)</f>
        <v>13750</v>
      </c>
      <c r="D8" s="24" t="n">
        <f aca="false">IF(Inputs!$B$44=2,D6*Inputs!$B$45,Inputs!$B$42*Inputs!$B$43/12)</f>
        <v>13750</v>
      </c>
      <c r="E8" s="24" t="n">
        <f aca="false">IF(Inputs!$B$44=2,E6*Inputs!$B$45,Inputs!$B$42*Inputs!$B$43/12)</f>
        <v>13750</v>
      </c>
      <c r="F8" s="24" t="n">
        <f aca="false">IF(Inputs!$B$44=2,F6*Inputs!$B$45,Inputs!$B$42*Inputs!$B$43/12)</f>
        <v>13750</v>
      </c>
      <c r="G8" s="24" t="n">
        <f aca="false">IF(Inputs!$B$44=2,G6*Inputs!$B$45,Inputs!$B$42*Inputs!$B$43/12)</f>
        <v>13750</v>
      </c>
      <c r="H8" s="24" t="n">
        <f aca="false">IF(Inputs!$B$44=2,H6*Inputs!$B$45,Inputs!$B$42*Inputs!$B$43/12)</f>
        <v>13750</v>
      </c>
      <c r="I8" s="24" t="n">
        <f aca="false">IF(Inputs!$B$44=2,I6*Inputs!$B$45,Inputs!$B$42*Inputs!$B$43/12)</f>
        <v>13750</v>
      </c>
      <c r="J8" s="24" t="n">
        <f aca="false">IF(Inputs!$B$44=2,J6*Inputs!$B$45,Inputs!$B$42*Inputs!$B$43/12)</f>
        <v>13750</v>
      </c>
      <c r="K8" s="24" t="n">
        <f aca="false">IF(Inputs!$B$44=2,K6*Inputs!$B$45,Inputs!$B$42*Inputs!$B$43/12)</f>
        <v>13750</v>
      </c>
      <c r="L8" s="24" t="n">
        <f aca="false">IF(Inputs!$B$44=2,L6*Inputs!$B$45,Inputs!$B$42*Inputs!$B$43/12)</f>
        <v>13750</v>
      </c>
      <c r="M8" s="24" t="n">
        <f aca="false">IF(Inputs!$B$44=2,M6*Inputs!$B$45,Inputs!$B$42*Inputs!$B$43/12)</f>
        <v>13750</v>
      </c>
      <c r="N8" s="24" t="n">
        <f aca="false">IF(Inputs!$B$44=2,N6*Inputs!$B$45,Inputs!$B$42*Inputs!$B$43/12)</f>
        <v>13750</v>
      </c>
      <c r="O8" s="24" t="n">
        <f aca="false">IF(Inputs!$B$44=2,O6*Inputs!$B$45,Inputs!$B$42*Inputs!$B$43/12)</f>
        <v>13750</v>
      </c>
      <c r="P8" s="24" t="n">
        <f aca="false">IF(Inputs!$B$44=2,P6*Inputs!$B$45,Inputs!$B$42*Inputs!$B$43/12)</f>
        <v>13750</v>
      </c>
      <c r="Q8" s="24" t="n">
        <f aca="false">IF(Inputs!$B$44=2,Q6*Inputs!$B$45,Inputs!$B$42*Inputs!$B$43/12)</f>
        <v>13750</v>
      </c>
      <c r="R8" s="24" t="n">
        <f aca="false">IF(Inputs!$B$44=2,R6*Inputs!$B$45,Inputs!$B$42*Inputs!$B$43/12)</f>
        <v>13750</v>
      </c>
      <c r="S8" s="24" t="n">
        <f aca="false">IF(Inputs!$B$44=2,S6*Inputs!$B$45,Inputs!$B$42*Inputs!$B$43/12)</f>
        <v>13750</v>
      </c>
      <c r="T8" s="24" t="n">
        <f aca="false">IF(Inputs!$B$44=2,T6*Inputs!$B$45,Inputs!$B$42*Inputs!$B$43/12)</f>
        <v>13750</v>
      </c>
      <c r="U8" s="24" t="n">
        <f aca="false">IF(Inputs!$B$44=2,U6*Inputs!$B$45,Inputs!$B$42*Inputs!$B$43/12)</f>
        <v>13750</v>
      </c>
      <c r="V8" s="24" t="n">
        <f aca="false">IF(Inputs!$B$44=2,V6*Inputs!$B$45,Inputs!$B$42*Inputs!$B$43/12)</f>
        <v>13750</v>
      </c>
      <c r="W8" s="24" t="n">
        <f aca="false">IF(Inputs!$B$44=2,W6*Inputs!$B$45,Inputs!$B$42*Inputs!$B$43/12)</f>
        <v>13750</v>
      </c>
      <c r="X8" s="24" t="n">
        <f aca="false">IF(Inputs!$B$44=2,X6*Inputs!$B$45,Inputs!$B$42*Inputs!$B$43/12)</f>
        <v>13750</v>
      </c>
      <c r="Y8" s="24" t="n">
        <f aca="false">IF(Inputs!$B$44=2,Y6*Inputs!$B$45,Inputs!$B$42*Inputs!$B$43/12)</f>
        <v>13750</v>
      </c>
      <c r="Z8" s="24" t="n">
        <f aca="false">IF(Inputs!$B$44=2,Z6*Inputs!$B$45,Inputs!$B$42*Inputs!$B$43/12)</f>
        <v>13750</v>
      </c>
      <c r="AA8" s="24" t="n">
        <f aca="false">IF(Inputs!$B$44=2,AA6*Inputs!$B$45,Inputs!$B$42*Inputs!$B$43/12)</f>
        <v>13750</v>
      </c>
      <c r="AB8" s="24" t="n">
        <f aca="false">IF(Inputs!$B$44=2,AB6*Inputs!$B$45,Inputs!$B$42*Inputs!$B$43/12)</f>
        <v>13750</v>
      </c>
      <c r="AC8" s="24" t="n">
        <f aca="false">IF(Inputs!$B$44=2,AC6*Inputs!$B$45,Inputs!$B$42*Inputs!$B$43/12)</f>
        <v>13750</v>
      </c>
      <c r="AD8" s="24" t="n">
        <f aca="false">IF(Inputs!$B$44=2,AD6*Inputs!$B$45,Inputs!$B$42*Inputs!$B$43/12)</f>
        <v>13750</v>
      </c>
      <c r="AE8" s="24" t="n">
        <f aca="false">IF(Inputs!$B$44=2,AE6*Inputs!$B$45,Inputs!$B$42*Inputs!$B$43/12)</f>
        <v>13750</v>
      </c>
      <c r="AF8" s="24" t="n">
        <f aca="false">IF(Inputs!$B$44=2,AF6*Inputs!$B$45,Inputs!$B$42*Inputs!$B$43/12)</f>
        <v>13750</v>
      </c>
      <c r="AG8" s="24" t="n">
        <f aca="false">IF(Inputs!$B$44=2,AG6*Inputs!$B$45,Inputs!$B$42*Inputs!$B$43/12)</f>
        <v>13750</v>
      </c>
      <c r="AH8" s="24" t="n">
        <f aca="false">IF(Inputs!$B$44=2,AH6*Inputs!$B$45,Inputs!$B$42*Inputs!$B$43/12)</f>
        <v>13750</v>
      </c>
      <c r="AI8" s="24" t="n">
        <f aca="false">IF(Inputs!$B$44=2,AI6*Inputs!$B$45,Inputs!$B$42*Inputs!$B$43/12)</f>
        <v>13750</v>
      </c>
      <c r="AJ8" s="24" t="n">
        <f aca="false">IF(Inputs!$B$44=2,AJ6*Inputs!$B$45,Inputs!$B$42*Inputs!$B$43/12)</f>
        <v>13750</v>
      </c>
      <c r="AK8" s="24" t="n">
        <f aca="false">IF(Inputs!$B$44=2,AK6*Inputs!$B$45,Inputs!$B$42*Inputs!$B$43/12)</f>
        <v>13750</v>
      </c>
      <c r="AL8" s="24" t="n">
        <f aca="false">IF(Inputs!$B$44=2,AL6*Inputs!$B$45,Inputs!$B$42*Inputs!$B$43/12)</f>
        <v>13750</v>
      </c>
    </row>
    <row r="9" customFormat="false" ht="15" hidden="false" customHeight="false" outlineLevel="0" collapsed="false">
      <c r="A9" s="2" t="s">
        <v>179</v>
      </c>
      <c r="B9" s="24" t="n">
        <v>0</v>
      </c>
      <c r="C9" s="24" t="n">
        <f aca="false">('Unit Economics'!$B$31-'Unit Economics'!$B$26)</f>
        <v>37699.1666666667</v>
      </c>
      <c r="D9" s="24" t="n">
        <f aca="false">('Unit Economics'!$B$31-'Unit Economics'!$B$26)</f>
        <v>37699.1666666667</v>
      </c>
      <c r="E9" s="24" t="n">
        <f aca="false">('Unit Economics'!$B$31-'Unit Economics'!$B$26)</f>
        <v>37699.1666666667</v>
      </c>
      <c r="F9" s="24" t="n">
        <f aca="false">('Unit Economics'!$B$31-'Unit Economics'!$B$26)</f>
        <v>37699.1666666667</v>
      </c>
      <c r="G9" s="24" t="n">
        <f aca="false">('Unit Economics'!$B$31-'Unit Economics'!$B$26)</f>
        <v>37699.1666666667</v>
      </c>
      <c r="H9" s="24" t="n">
        <f aca="false">('Unit Economics'!$B$31-'Unit Economics'!$B$26)</f>
        <v>37699.1666666667</v>
      </c>
      <c r="I9" s="24" t="n">
        <f aca="false">('Unit Economics'!$B$31-'Unit Economics'!$B$26)</f>
        <v>37699.1666666667</v>
      </c>
      <c r="J9" s="24" t="n">
        <f aca="false">('Unit Economics'!$B$31-'Unit Economics'!$B$26)</f>
        <v>37699.1666666667</v>
      </c>
      <c r="K9" s="24" t="n">
        <f aca="false">('Unit Economics'!$B$31-'Unit Economics'!$B$26)</f>
        <v>37699.1666666667</v>
      </c>
      <c r="L9" s="24" t="n">
        <f aca="false">('Unit Economics'!$B$31-'Unit Economics'!$B$26)</f>
        <v>37699.1666666667</v>
      </c>
      <c r="M9" s="24" t="n">
        <f aca="false">('Unit Economics'!$B$31-'Unit Economics'!$B$26)</f>
        <v>37699.1666666667</v>
      </c>
      <c r="N9" s="24" t="n">
        <f aca="false">('Unit Economics'!$B$31-'Unit Economics'!$B$26)</f>
        <v>37699.1666666667</v>
      </c>
      <c r="O9" s="24" t="n">
        <f aca="false">('Unit Economics'!$B$31-'Unit Economics'!$B$26)</f>
        <v>37699.1666666667</v>
      </c>
      <c r="P9" s="24" t="n">
        <f aca="false">('Unit Economics'!$B$31-'Unit Economics'!$B$26)</f>
        <v>37699.1666666667</v>
      </c>
      <c r="Q9" s="24" t="n">
        <f aca="false">('Unit Economics'!$B$31-'Unit Economics'!$B$26)</f>
        <v>37699.1666666667</v>
      </c>
      <c r="R9" s="24" t="n">
        <f aca="false">('Unit Economics'!$B$31-'Unit Economics'!$B$26)</f>
        <v>37699.1666666667</v>
      </c>
      <c r="S9" s="24" t="n">
        <f aca="false">('Unit Economics'!$B$31-'Unit Economics'!$B$26)</f>
        <v>37699.1666666667</v>
      </c>
      <c r="T9" s="24" t="n">
        <f aca="false">('Unit Economics'!$B$31-'Unit Economics'!$B$26)</f>
        <v>37699.1666666667</v>
      </c>
      <c r="U9" s="24" t="n">
        <f aca="false">('Unit Economics'!$B$31-'Unit Economics'!$B$26)</f>
        <v>37699.1666666667</v>
      </c>
      <c r="V9" s="24" t="n">
        <f aca="false">('Unit Economics'!$B$31-'Unit Economics'!$B$26)</f>
        <v>37699.1666666667</v>
      </c>
      <c r="W9" s="24" t="n">
        <f aca="false">('Unit Economics'!$B$31-'Unit Economics'!$B$26)</f>
        <v>37699.1666666667</v>
      </c>
      <c r="X9" s="24" t="n">
        <f aca="false">('Unit Economics'!$B$31-'Unit Economics'!$B$26)</f>
        <v>37699.1666666667</v>
      </c>
      <c r="Y9" s="24" t="n">
        <f aca="false">('Unit Economics'!$B$31-'Unit Economics'!$B$26)</f>
        <v>37699.1666666667</v>
      </c>
      <c r="Z9" s="24" t="n">
        <f aca="false">('Unit Economics'!$B$31-'Unit Economics'!$B$26)</f>
        <v>37699.1666666667</v>
      </c>
      <c r="AA9" s="24" t="n">
        <f aca="false">('Unit Economics'!$B$31-'Unit Economics'!$B$26)</f>
        <v>37699.1666666667</v>
      </c>
      <c r="AB9" s="24" t="n">
        <f aca="false">('Unit Economics'!$B$31-'Unit Economics'!$B$26)</f>
        <v>37699.1666666667</v>
      </c>
      <c r="AC9" s="24" t="n">
        <f aca="false">('Unit Economics'!$B$31-'Unit Economics'!$B$26)</f>
        <v>37699.1666666667</v>
      </c>
      <c r="AD9" s="24" t="n">
        <f aca="false">('Unit Economics'!$B$31-'Unit Economics'!$B$26)</f>
        <v>37699.1666666667</v>
      </c>
      <c r="AE9" s="24" t="n">
        <f aca="false">('Unit Economics'!$B$31-'Unit Economics'!$B$26)</f>
        <v>37699.1666666667</v>
      </c>
      <c r="AF9" s="24" t="n">
        <f aca="false">('Unit Economics'!$B$31-'Unit Economics'!$B$26)</f>
        <v>37699.1666666667</v>
      </c>
      <c r="AG9" s="24" t="n">
        <f aca="false">('Unit Economics'!$B$31-'Unit Economics'!$B$26)</f>
        <v>37699.1666666667</v>
      </c>
      <c r="AH9" s="24" t="n">
        <f aca="false">('Unit Economics'!$B$31-'Unit Economics'!$B$26)</f>
        <v>37699.1666666667</v>
      </c>
      <c r="AI9" s="24" t="n">
        <f aca="false">('Unit Economics'!$B$31-'Unit Economics'!$B$26)</f>
        <v>37699.1666666667</v>
      </c>
      <c r="AJ9" s="24" t="n">
        <f aca="false">('Unit Economics'!$B$31-'Unit Economics'!$B$26)</f>
        <v>37699.1666666667</v>
      </c>
      <c r="AK9" s="24" t="n">
        <f aca="false">('Unit Economics'!$B$31-'Unit Economics'!$B$26)</f>
        <v>37699.1666666667</v>
      </c>
      <c r="AL9" s="24" t="n">
        <f aca="false">('Unit Economics'!$B$31-'Unit Economics'!$B$26)</f>
        <v>37699.1666666667</v>
      </c>
    </row>
    <row r="10" customFormat="false" ht="15" hidden="false" customHeight="false" outlineLevel="0" collapsed="false">
      <c r="A10" s="3" t="s">
        <v>180</v>
      </c>
      <c r="B10" s="26" t="n">
        <v>0</v>
      </c>
      <c r="C10" s="26" t="n">
        <f aca="false">C6-C7-C8-C9</f>
        <v>-41794.1866666667</v>
      </c>
      <c r="D10" s="26" t="n">
        <f aca="false">D6-D7-D8-D9</f>
        <v>-38221.8440666667</v>
      </c>
      <c r="E10" s="26" t="n">
        <f aca="false">E6-E7-E8-E9</f>
        <v>-34756.6717446667</v>
      </c>
      <c r="F10" s="26" t="n">
        <f aca="false">F6-F7-F8-F9</f>
        <v>-31395.4545923267</v>
      </c>
      <c r="G10" s="26" t="n">
        <f aca="false">G6-G7-G8-G9</f>
        <v>-28135.0739545569</v>
      </c>
      <c r="H10" s="26" t="n">
        <f aca="false">H6-H7-H8-H9</f>
        <v>-24972.5047359202</v>
      </c>
      <c r="I10" s="26" t="n">
        <f aca="false">I6-I7-I8-I9</f>
        <v>-21904.8125938426</v>
      </c>
      <c r="J10" s="26" t="n">
        <f aca="false">J6-J7-J8-J9</f>
        <v>-18929.1512160273</v>
      </c>
      <c r="K10" s="26" t="n">
        <f aca="false">K6-K7-K8-K9</f>
        <v>-16042.7596795465</v>
      </c>
      <c r="L10" s="26" t="n">
        <f aca="false">L6-L7-L8-L9</f>
        <v>-13242.9598891601</v>
      </c>
      <c r="M10" s="26" t="n">
        <f aca="false">M6-M7-M8-M9</f>
        <v>-10527.1540924853</v>
      </c>
      <c r="N10" s="26" t="n">
        <f aca="false">N6-N7-N8-N9</f>
        <v>-8001.75666666668</v>
      </c>
      <c r="O10" s="26" t="n">
        <f aca="false">O6-O7-O8-O9</f>
        <v>-8001.75666666668</v>
      </c>
      <c r="P10" s="26" t="n">
        <f aca="false">P6-P7-P8-P9</f>
        <v>-8001.75666666668</v>
      </c>
      <c r="Q10" s="26" t="n">
        <f aca="false">Q6-Q7-Q8-Q9</f>
        <v>-8001.75666666668</v>
      </c>
      <c r="R10" s="26" t="n">
        <f aca="false">R6-R7-R8-R9</f>
        <v>-8001.75666666668</v>
      </c>
      <c r="S10" s="26" t="n">
        <f aca="false">S6-S7-S8-S9</f>
        <v>-8001.75666666668</v>
      </c>
      <c r="T10" s="26" t="n">
        <f aca="false">T6-T7-T8-T9</f>
        <v>-8001.75666666668</v>
      </c>
      <c r="U10" s="26" t="n">
        <f aca="false">U6-U7-U8-U9</f>
        <v>-8001.75666666668</v>
      </c>
      <c r="V10" s="26" t="n">
        <f aca="false">V6-V7-V8-V9</f>
        <v>-8001.75666666668</v>
      </c>
      <c r="W10" s="26" t="n">
        <f aca="false">W6-W7-W8-W9</f>
        <v>-8001.75666666668</v>
      </c>
      <c r="X10" s="26" t="n">
        <f aca="false">X6-X7-X8-X9</f>
        <v>-8001.75666666668</v>
      </c>
      <c r="Y10" s="26" t="n">
        <f aca="false">Y6-Y7-Y8-Y9</f>
        <v>-8001.75666666668</v>
      </c>
      <c r="Z10" s="26" t="n">
        <f aca="false">Z6-Z7-Z8-Z9</f>
        <v>-8001.75666666668</v>
      </c>
      <c r="AA10" s="26" t="n">
        <f aca="false">AA6-AA7-AA8-AA9</f>
        <v>-8001.75666666668</v>
      </c>
      <c r="AB10" s="26" t="n">
        <f aca="false">AB6-AB7-AB8-AB9</f>
        <v>-8001.75666666668</v>
      </c>
      <c r="AC10" s="26" t="n">
        <f aca="false">AC6-AC7-AC8-AC9</f>
        <v>-8001.75666666668</v>
      </c>
      <c r="AD10" s="26" t="n">
        <f aca="false">AD6-AD7-AD8-AD9</f>
        <v>-8001.75666666668</v>
      </c>
      <c r="AE10" s="26" t="n">
        <f aca="false">AE6-AE7-AE8-AE9</f>
        <v>-8001.75666666668</v>
      </c>
      <c r="AF10" s="26" t="n">
        <f aca="false">AF6-AF7-AF8-AF9</f>
        <v>-8001.75666666668</v>
      </c>
      <c r="AG10" s="26" t="n">
        <f aca="false">AG6-AG7-AG8-AG9</f>
        <v>-8001.75666666668</v>
      </c>
      <c r="AH10" s="26" t="n">
        <f aca="false">AH6-AH7-AH8-AH9</f>
        <v>-8001.75666666668</v>
      </c>
      <c r="AI10" s="26" t="n">
        <f aca="false">AI6-AI7-AI8-AI9</f>
        <v>-8001.75666666668</v>
      </c>
      <c r="AJ10" s="26" t="n">
        <f aca="false">AJ6-AJ7-AJ8-AJ9</f>
        <v>-8001.75666666668</v>
      </c>
      <c r="AK10" s="26" t="n">
        <f aca="false">AK6-AK7-AK8-AK9</f>
        <v>-8001.75666666668</v>
      </c>
      <c r="AL10" s="26" t="n">
        <f aca="false">AL6-AL7-AL8-AL9</f>
        <v>-8001.75666666668</v>
      </c>
    </row>
    <row r="11" customFormat="false" ht="15" hidden="false" customHeight="false" outlineLevel="0" collapsed="false">
      <c r="A11" s="2" t="s">
        <v>181</v>
      </c>
      <c r="B11" s="24" t="n">
        <f aca="false">'Unit Economics'!$B$65</f>
        <v>400000</v>
      </c>
      <c r="C11" s="24" t="n">
        <v>0</v>
      </c>
      <c r="D11" s="24" t="n">
        <v>0</v>
      </c>
      <c r="E11" s="24" t="n">
        <v>0</v>
      </c>
      <c r="F11" s="24" t="n">
        <v>0</v>
      </c>
      <c r="G11" s="24" t="n">
        <v>0</v>
      </c>
      <c r="H11" s="24" t="n">
        <v>0</v>
      </c>
      <c r="I11" s="24" t="n">
        <v>0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0</v>
      </c>
      <c r="U11" s="24" t="n">
        <v>0</v>
      </c>
      <c r="V11" s="24" t="n">
        <v>0</v>
      </c>
      <c r="W11" s="24" t="n">
        <v>0</v>
      </c>
      <c r="X11" s="24" t="n">
        <v>0</v>
      </c>
      <c r="Y11" s="24" t="n">
        <v>0</v>
      </c>
      <c r="Z11" s="24" t="n">
        <v>0</v>
      </c>
      <c r="AA11" s="24" t="n">
        <v>0</v>
      </c>
      <c r="AB11" s="24" t="n">
        <v>0</v>
      </c>
      <c r="AC11" s="24" t="n">
        <v>0</v>
      </c>
      <c r="AD11" s="24" t="n">
        <v>0</v>
      </c>
      <c r="AE11" s="24" t="n">
        <v>0</v>
      </c>
      <c r="AF11" s="24" t="n">
        <v>0</v>
      </c>
      <c r="AG11" s="24" t="n">
        <v>0</v>
      </c>
      <c r="AH11" s="24" t="n">
        <v>0</v>
      </c>
      <c r="AI11" s="24" t="n">
        <v>0</v>
      </c>
      <c r="AJ11" s="24" t="n">
        <v>0</v>
      </c>
      <c r="AK11" s="24" t="n">
        <v>0</v>
      </c>
      <c r="AL11" s="24" t="n">
        <v>0</v>
      </c>
    </row>
    <row r="12" customFormat="false" ht="15" hidden="false" customHeight="false" outlineLevel="0" collapsed="false">
      <c r="A12" s="2" t="s">
        <v>182</v>
      </c>
      <c r="B12" s="24" t="n">
        <f aca="false">B10-B11</f>
        <v>-400000</v>
      </c>
      <c r="C12" s="24" t="n">
        <f aca="false">C10-C11</f>
        <v>-41794.1866666667</v>
      </c>
      <c r="D12" s="24" t="n">
        <f aca="false">D10-D11</f>
        <v>-38221.8440666667</v>
      </c>
      <c r="E12" s="24" t="n">
        <f aca="false">E10-E11</f>
        <v>-34756.6717446667</v>
      </c>
      <c r="F12" s="24" t="n">
        <f aca="false">F10-F11</f>
        <v>-31395.4545923267</v>
      </c>
      <c r="G12" s="24" t="n">
        <f aca="false">G10-G11</f>
        <v>-28135.0739545569</v>
      </c>
      <c r="H12" s="24" t="n">
        <f aca="false">H10-H11</f>
        <v>-24972.5047359202</v>
      </c>
      <c r="I12" s="24" t="n">
        <f aca="false">I10-I11</f>
        <v>-21904.8125938426</v>
      </c>
      <c r="J12" s="24" t="n">
        <f aca="false">J10-J11</f>
        <v>-18929.1512160273</v>
      </c>
      <c r="K12" s="24" t="n">
        <f aca="false">K10-K11</f>
        <v>-16042.7596795465</v>
      </c>
      <c r="L12" s="24" t="n">
        <f aca="false">L10-L11</f>
        <v>-13242.9598891601</v>
      </c>
      <c r="M12" s="24" t="n">
        <f aca="false">M10-M11</f>
        <v>-10527.1540924853</v>
      </c>
      <c r="N12" s="24" t="n">
        <f aca="false">N10-N11</f>
        <v>-8001.75666666668</v>
      </c>
      <c r="O12" s="24" t="n">
        <f aca="false">O10-O11</f>
        <v>-8001.75666666668</v>
      </c>
      <c r="P12" s="24" t="n">
        <f aca="false">P10-P11</f>
        <v>-8001.75666666668</v>
      </c>
      <c r="Q12" s="24" t="n">
        <f aca="false">Q10-Q11</f>
        <v>-8001.75666666668</v>
      </c>
      <c r="R12" s="24" t="n">
        <f aca="false">R10-R11</f>
        <v>-8001.75666666668</v>
      </c>
      <c r="S12" s="24" t="n">
        <f aca="false">S10-S11</f>
        <v>-8001.75666666668</v>
      </c>
      <c r="T12" s="24" t="n">
        <f aca="false">T10-T11</f>
        <v>-8001.75666666668</v>
      </c>
      <c r="U12" s="24" t="n">
        <f aca="false">U10-U11</f>
        <v>-8001.75666666668</v>
      </c>
      <c r="V12" s="24" t="n">
        <f aca="false">V10-V11</f>
        <v>-8001.75666666668</v>
      </c>
      <c r="W12" s="24" t="n">
        <f aca="false">W10-W11</f>
        <v>-8001.75666666668</v>
      </c>
      <c r="X12" s="24" t="n">
        <f aca="false">X10-X11</f>
        <v>-8001.75666666668</v>
      </c>
      <c r="Y12" s="24" t="n">
        <f aca="false">Y10-Y11</f>
        <v>-8001.75666666668</v>
      </c>
      <c r="Z12" s="24" t="n">
        <f aca="false">Z10-Z11</f>
        <v>-8001.75666666668</v>
      </c>
      <c r="AA12" s="24" t="n">
        <f aca="false">AA10-AA11</f>
        <v>-8001.75666666668</v>
      </c>
      <c r="AB12" s="24" t="n">
        <f aca="false">AB10-AB11</f>
        <v>-8001.75666666668</v>
      </c>
      <c r="AC12" s="24" t="n">
        <f aca="false">AC10-AC11</f>
        <v>-8001.75666666668</v>
      </c>
      <c r="AD12" s="24" t="n">
        <f aca="false">AD10-AD11</f>
        <v>-8001.75666666668</v>
      </c>
      <c r="AE12" s="24" t="n">
        <f aca="false">AE10-AE11</f>
        <v>-8001.75666666668</v>
      </c>
      <c r="AF12" s="24" t="n">
        <f aca="false">AF10-AF11</f>
        <v>-8001.75666666668</v>
      </c>
      <c r="AG12" s="24" t="n">
        <f aca="false">AG10-AG11</f>
        <v>-8001.75666666668</v>
      </c>
      <c r="AH12" s="24" t="n">
        <f aca="false">AH10-AH11</f>
        <v>-8001.75666666668</v>
      </c>
      <c r="AI12" s="24" t="n">
        <f aca="false">AI10-AI11</f>
        <v>-8001.75666666668</v>
      </c>
      <c r="AJ12" s="24" t="n">
        <f aca="false">AJ10-AJ11</f>
        <v>-8001.75666666668</v>
      </c>
      <c r="AK12" s="24" t="n">
        <f aca="false">AK10-AK11</f>
        <v>-8001.75666666668</v>
      </c>
      <c r="AL12" s="24" t="n">
        <f aca="false">AL10-AL11</f>
        <v>-8001.75666666668</v>
      </c>
    </row>
    <row r="13" customFormat="false" ht="15" hidden="false" customHeight="false" outlineLevel="0" collapsed="false">
      <c r="A13" s="3" t="s">
        <v>183</v>
      </c>
      <c r="B13" s="26" t="n">
        <f aca="false">B12</f>
        <v>-400000</v>
      </c>
      <c r="C13" s="26" t="n">
        <f aca="false">B13+C12</f>
        <v>-441794.186666667</v>
      </c>
      <c r="D13" s="26" t="n">
        <f aca="false">C13+D12</f>
        <v>-480016.030733333</v>
      </c>
      <c r="E13" s="26" t="n">
        <f aca="false">D13+E12</f>
        <v>-514772.702478</v>
      </c>
      <c r="F13" s="26" t="n">
        <f aca="false">E13+F12</f>
        <v>-546168.157070327</v>
      </c>
      <c r="G13" s="26" t="n">
        <f aca="false">F13+G12</f>
        <v>-574303.231024884</v>
      </c>
      <c r="H13" s="26" t="n">
        <f aca="false">G13+H12</f>
        <v>-599275.735760804</v>
      </c>
      <c r="I13" s="26" t="n">
        <f aca="false">H13+I12</f>
        <v>-621180.548354646</v>
      </c>
      <c r="J13" s="26" t="n">
        <f aca="false">I13+J12</f>
        <v>-640109.699570673</v>
      </c>
      <c r="K13" s="26" t="n">
        <f aca="false">J13+K12</f>
        <v>-656152.45925022</v>
      </c>
      <c r="L13" s="26" t="n">
        <f aca="false">K13+L12</f>
        <v>-669395.41913938</v>
      </c>
      <c r="M13" s="26" t="n">
        <f aca="false">L13+M12</f>
        <v>-679922.573231865</v>
      </c>
      <c r="N13" s="26" t="n">
        <f aca="false">M13+N12</f>
        <v>-687924.329898532</v>
      </c>
      <c r="O13" s="26" t="n">
        <f aca="false">N13+O12</f>
        <v>-695926.086565199</v>
      </c>
      <c r="P13" s="26" t="n">
        <f aca="false">O13+P12</f>
        <v>-703927.843231865</v>
      </c>
      <c r="Q13" s="26" t="n">
        <f aca="false">P13+Q12</f>
        <v>-711929.599898532</v>
      </c>
      <c r="R13" s="26" t="n">
        <f aca="false">Q13+R12</f>
        <v>-719931.356565199</v>
      </c>
      <c r="S13" s="26" t="n">
        <f aca="false">R13+S12</f>
        <v>-727933.113231866</v>
      </c>
      <c r="T13" s="26" t="n">
        <f aca="false">S13+T12</f>
        <v>-735934.869898532</v>
      </c>
      <c r="U13" s="26" t="n">
        <f aca="false">T13+U12</f>
        <v>-743936.626565199</v>
      </c>
      <c r="V13" s="26" t="n">
        <f aca="false">U13+V12</f>
        <v>-751938.383231866</v>
      </c>
      <c r="W13" s="26" t="n">
        <f aca="false">V13+W12</f>
        <v>-759940.139898532</v>
      </c>
      <c r="X13" s="26" t="n">
        <f aca="false">W13+X12</f>
        <v>-767941.896565199</v>
      </c>
      <c r="Y13" s="26" t="n">
        <f aca="false">X13+Y12</f>
        <v>-775943.653231866</v>
      </c>
      <c r="Z13" s="26" t="n">
        <f aca="false">Y13+Z12</f>
        <v>-783945.409898533</v>
      </c>
      <c r="AA13" s="26" t="n">
        <f aca="false">Z13+AA12</f>
        <v>-791947.166565199</v>
      </c>
      <c r="AB13" s="26" t="n">
        <f aca="false">AA13+AB12</f>
        <v>-799948.923231866</v>
      </c>
      <c r="AC13" s="26" t="n">
        <f aca="false">AB13+AC12</f>
        <v>-807950.679898533</v>
      </c>
      <c r="AD13" s="26" t="n">
        <f aca="false">AC13+AD12</f>
        <v>-815952.436565199</v>
      </c>
      <c r="AE13" s="26" t="n">
        <f aca="false">AD13+AE12</f>
        <v>-823954.193231866</v>
      </c>
      <c r="AF13" s="26" t="n">
        <f aca="false">AE13+AF12</f>
        <v>-831955.949898533</v>
      </c>
      <c r="AG13" s="26" t="n">
        <f aca="false">AF13+AG12</f>
        <v>-839957.7065652</v>
      </c>
      <c r="AH13" s="26" t="n">
        <f aca="false">AG13+AH12</f>
        <v>-847959.463231866</v>
      </c>
      <c r="AI13" s="26" t="n">
        <f aca="false">AH13+AI12</f>
        <v>-855961.219898533</v>
      </c>
      <c r="AJ13" s="26" t="n">
        <f aca="false">AI13+AJ12</f>
        <v>-863962.9765652</v>
      </c>
      <c r="AK13" s="26" t="n">
        <f aca="false">AJ13+AK12</f>
        <v>-871964.733231866</v>
      </c>
      <c r="AL13" s="26" t="n">
        <f aca="false">AK13+AL12</f>
        <v>-879966.489898533</v>
      </c>
    </row>
    <row r="14" customFormat="false" ht="15" hidden="false" customHeight="false" outlineLevel="0" collapsed="false">
      <c r="A14" s="2" t="s">
        <v>184</v>
      </c>
      <c r="B14" s="36"/>
      <c r="C14" s="36" t="str">
        <f aca="false">IF(AND(C13&gt;=0,B13&lt;0),C4,"")</f>
        <v/>
      </c>
      <c r="D14" s="36" t="str">
        <f aca="false">IF(AND(D13&gt;=0,C13&lt;0),D4,"")</f>
        <v/>
      </c>
      <c r="E14" s="36" t="str">
        <f aca="false">IF(AND(E13&gt;=0,D13&lt;0),E4,"")</f>
        <v/>
      </c>
      <c r="F14" s="36" t="str">
        <f aca="false">IF(AND(F13&gt;=0,E13&lt;0),F4,"")</f>
        <v/>
      </c>
      <c r="G14" s="36" t="str">
        <f aca="false">IF(AND(G13&gt;=0,F13&lt;0),G4,"")</f>
        <v/>
      </c>
      <c r="H14" s="36" t="str">
        <f aca="false">IF(AND(H13&gt;=0,G13&lt;0),H4,"")</f>
        <v/>
      </c>
      <c r="I14" s="36" t="str">
        <f aca="false">IF(AND(I13&gt;=0,H13&lt;0),I4,"")</f>
        <v/>
      </c>
      <c r="J14" s="36" t="str">
        <f aca="false">IF(AND(J13&gt;=0,I13&lt;0),J4,"")</f>
        <v/>
      </c>
      <c r="K14" s="36" t="str">
        <f aca="false">IF(AND(K13&gt;=0,J13&lt;0),K4,"")</f>
        <v/>
      </c>
      <c r="L14" s="36" t="str">
        <f aca="false">IF(AND(L13&gt;=0,K13&lt;0),L4,"")</f>
        <v/>
      </c>
      <c r="M14" s="36" t="str">
        <f aca="false">IF(AND(M13&gt;=0,L13&lt;0),M4,"")</f>
        <v/>
      </c>
      <c r="N14" s="36" t="str">
        <f aca="false">IF(AND(N13&gt;=0,M13&lt;0),N4,"")</f>
        <v/>
      </c>
      <c r="O14" s="36" t="str">
        <f aca="false">IF(AND(O13&gt;=0,N13&lt;0),O4,"")</f>
        <v/>
      </c>
      <c r="P14" s="36" t="str">
        <f aca="false">IF(AND(P13&gt;=0,O13&lt;0),P4,"")</f>
        <v/>
      </c>
      <c r="Q14" s="36" t="str">
        <f aca="false">IF(AND(Q13&gt;=0,P13&lt;0),Q4,"")</f>
        <v/>
      </c>
      <c r="R14" s="36" t="str">
        <f aca="false">IF(AND(R13&gt;=0,Q13&lt;0),R4,"")</f>
        <v/>
      </c>
      <c r="S14" s="36" t="str">
        <f aca="false">IF(AND(S13&gt;=0,R13&lt;0),S4,"")</f>
        <v/>
      </c>
      <c r="T14" s="36" t="str">
        <f aca="false">IF(AND(T13&gt;=0,S13&lt;0),T4,"")</f>
        <v/>
      </c>
      <c r="U14" s="36" t="str">
        <f aca="false">IF(AND(U13&gt;=0,T13&lt;0),U4,"")</f>
        <v/>
      </c>
      <c r="V14" s="36" t="str">
        <f aca="false">IF(AND(V13&gt;=0,U13&lt;0),V4,"")</f>
        <v/>
      </c>
      <c r="W14" s="36" t="str">
        <f aca="false">IF(AND(W13&gt;=0,V13&lt;0),W4,"")</f>
        <v/>
      </c>
      <c r="X14" s="36" t="str">
        <f aca="false">IF(AND(X13&gt;=0,W13&lt;0),X4,"")</f>
        <v/>
      </c>
      <c r="Y14" s="36" t="str">
        <f aca="false">IF(AND(Y13&gt;=0,X13&lt;0),Y4,"")</f>
        <v/>
      </c>
      <c r="Z14" s="36" t="str">
        <f aca="false">IF(AND(Z13&gt;=0,Y13&lt;0),Z4,"")</f>
        <v/>
      </c>
      <c r="AA14" s="36" t="str">
        <f aca="false">IF(AND(AA13&gt;=0,Z13&lt;0),AA4,"")</f>
        <v/>
      </c>
      <c r="AB14" s="36" t="str">
        <f aca="false">IF(AND(AB13&gt;=0,AA13&lt;0),AB4,"")</f>
        <v/>
      </c>
      <c r="AC14" s="36" t="str">
        <f aca="false">IF(AND(AC13&gt;=0,AB13&lt;0),AC4,"")</f>
        <v/>
      </c>
      <c r="AD14" s="36" t="str">
        <f aca="false">IF(AND(AD13&gt;=0,AC13&lt;0),AD4,"")</f>
        <v/>
      </c>
      <c r="AE14" s="36" t="str">
        <f aca="false">IF(AND(AE13&gt;=0,AD13&lt;0),AE4,"")</f>
        <v/>
      </c>
      <c r="AF14" s="36" t="str">
        <f aca="false">IF(AND(AF13&gt;=0,AE13&lt;0),AF4,"")</f>
        <v/>
      </c>
      <c r="AG14" s="36" t="str">
        <f aca="false">IF(AND(AG13&gt;=0,AF13&lt;0),AG4,"")</f>
        <v/>
      </c>
      <c r="AH14" s="36" t="str">
        <f aca="false">IF(AND(AH13&gt;=0,AG13&lt;0),AH4,"")</f>
        <v/>
      </c>
      <c r="AI14" s="36" t="str">
        <f aca="false">IF(AND(AI13&gt;=0,AH13&lt;0),AI4,"")</f>
        <v/>
      </c>
      <c r="AJ14" s="36" t="str">
        <f aca="false">IF(AND(AJ13&gt;=0,AI13&lt;0),AJ4,"")</f>
        <v/>
      </c>
      <c r="AK14" s="36" t="str">
        <f aca="false">IF(AND(AK13&gt;=0,AJ13&lt;0),AK4,"")</f>
        <v/>
      </c>
      <c r="AL14" s="36" t="str">
        <f aca="false">IF(AND(AL13&gt;=0,AK13&lt;0),AL4,"")</f>
        <v/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customFormat="false" ht="15" hidden="false" customHeight="false" outlineLevel="0" collapsed="false">
      <c r="A16" s="3" t="s">
        <v>185</v>
      </c>
      <c r="B16" s="3" t="str">
        <f aca="false">IF(COUNT(C14:AL14)=0,"Beyond 36 months",MIN(C14:AL14))</f>
        <v>Beyond 36 months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customFormat="false" ht="15" hidden="false" customHeight="false" outlineLevel="0" collapsed="false">
      <c r="A17" s="3" t="s">
        <v>186</v>
      </c>
      <c r="B17" s="26" t="n">
        <f aca="false">MIN(B13:AL13)</f>
        <v>-879966.489898533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customFormat="false" ht="15" hidden="false" customHeight="false" outlineLevel="0" collapsed="false">
      <c r="A18" s="3" t="s">
        <v>187</v>
      </c>
      <c r="B18" s="26" t="n">
        <f aca="false">AL13</f>
        <v>-879966.489898533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188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189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3" t="s">
        <v>190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191</v>
      </c>
      <c r="B5" s="37" t="n">
        <v>130</v>
      </c>
      <c r="C5" s="37" t="n">
        <v>150</v>
      </c>
      <c r="D5" s="37" t="n">
        <v>175</v>
      </c>
      <c r="E5" s="37" t="n">
        <v>195</v>
      </c>
      <c r="F5" s="37" t="n">
        <v>225</v>
      </c>
    </row>
    <row r="6" customFormat="false" ht="15" hidden="false" customHeight="false" outlineLevel="0" collapsed="false">
      <c r="A6" s="38" t="n">
        <v>250</v>
      </c>
      <c r="B6" s="24" t="n">
        <f aca="false">$A6*((1-Inputs!$B$15)*((B$5+Inputs!$B$7)*(1-Inputs!$B$8)-Inputs!$B$27*(Inputs!$B$28/Inputs!$B$36*Inputs!$B$34*(1+Inputs!$B$35)/60)-'Unit Economics'!$B$40)+Inputs!$B$15*'Unit Economics'!$B$42)-'Unit Economics'!$B$47</f>
        <v>-30221.7166666667</v>
      </c>
      <c r="C6" s="24" t="n">
        <f aca="false">$A6*((1-Inputs!$B$15)*((C$5+Inputs!$B$7)*(1-Inputs!$B$8)-Inputs!$B$27*(Inputs!$B$28/Inputs!$B$36*Inputs!$B$34*(1+Inputs!$B$35)/60)-'Unit Economics'!$B$40)+Inputs!$B$15*'Unit Economics'!$B$42)-'Unit Economics'!$B$47</f>
        <v>-27311.7166666667</v>
      </c>
      <c r="D6" s="24" t="n">
        <f aca="false">$A6*((1-Inputs!$B$15)*((D$5+Inputs!$B$7)*(1-Inputs!$B$8)-Inputs!$B$27*(Inputs!$B$28/Inputs!$B$36*Inputs!$B$34*(1+Inputs!$B$35)/60)-'Unit Economics'!$B$40)+Inputs!$B$15*'Unit Economics'!$B$42)-'Unit Economics'!$B$47</f>
        <v>-23674.2166666667</v>
      </c>
      <c r="E6" s="24" t="n">
        <f aca="false">$A6*((1-Inputs!$B$15)*((E$5+Inputs!$B$7)*(1-Inputs!$B$8)-Inputs!$B$27*(Inputs!$B$28/Inputs!$B$36*Inputs!$B$34*(1+Inputs!$B$35)/60)-'Unit Economics'!$B$40)+Inputs!$B$15*'Unit Economics'!$B$42)-'Unit Economics'!$B$47</f>
        <v>-20764.2166666667</v>
      </c>
      <c r="F6" s="24" t="n">
        <f aca="false">$A6*((1-Inputs!$B$15)*((F$5+Inputs!$B$7)*(1-Inputs!$B$8)-Inputs!$B$27*(Inputs!$B$28/Inputs!$B$36*Inputs!$B$34*(1+Inputs!$B$35)/60)-'Unit Economics'!$B$40)+Inputs!$B$15*'Unit Economics'!$B$42)-'Unit Economics'!$B$47</f>
        <v>-16399.2166666667</v>
      </c>
    </row>
    <row r="7" customFormat="false" ht="15" hidden="false" customHeight="false" outlineLevel="0" collapsed="false">
      <c r="A7" s="38" t="n">
        <v>300</v>
      </c>
      <c r="B7" s="24" t="n">
        <f aca="false">$A7*((1-Inputs!$B$15)*((B$5+Inputs!$B$7)*(1-Inputs!$B$8)-Inputs!$B$27*(Inputs!$B$28/Inputs!$B$36*Inputs!$B$34*(1+Inputs!$B$35)/60)-'Unit Economics'!$B$40)+Inputs!$B$15*'Unit Economics'!$B$42)-'Unit Economics'!$B$47</f>
        <v>-25976.2266666667</v>
      </c>
      <c r="C7" s="24" t="n">
        <f aca="false">$A7*((1-Inputs!$B$15)*((C$5+Inputs!$B$7)*(1-Inputs!$B$8)-Inputs!$B$27*(Inputs!$B$28/Inputs!$B$36*Inputs!$B$34*(1+Inputs!$B$35)/60)-'Unit Economics'!$B$40)+Inputs!$B$15*'Unit Economics'!$B$42)-'Unit Economics'!$B$47</f>
        <v>-22484.2266666667</v>
      </c>
      <c r="D7" s="24" t="n">
        <f aca="false">$A7*((1-Inputs!$B$15)*((D$5+Inputs!$B$7)*(1-Inputs!$B$8)-Inputs!$B$27*(Inputs!$B$28/Inputs!$B$36*Inputs!$B$34*(1+Inputs!$B$35)/60)-'Unit Economics'!$B$40)+Inputs!$B$15*'Unit Economics'!$B$42)-'Unit Economics'!$B$47</f>
        <v>-18119.2266666667</v>
      </c>
      <c r="E7" s="24" t="n">
        <f aca="false">$A7*((1-Inputs!$B$15)*((E$5+Inputs!$B$7)*(1-Inputs!$B$8)-Inputs!$B$27*(Inputs!$B$28/Inputs!$B$36*Inputs!$B$34*(1+Inputs!$B$35)/60)-'Unit Economics'!$B$40)+Inputs!$B$15*'Unit Economics'!$B$42)-'Unit Economics'!$B$47</f>
        <v>-14627.2266666667</v>
      </c>
      <c r="F7" s="24" t="n">
        <f aca="false">$A7*((1-Inputs!$B$15)*((F$5+Inputs!$B$7)*(1-Inputs!$B$8)-Inputs!$B$27*(Inputs!$B$28/Inputs!$B$36*Inputs!$B$34*(1+Inputs!$B$35)/60)-'Unit Economics'!$B$40)+Inputs!$B$15*'Unit Economics'!$B$42)-'Unit Economics'!$B$47</f>
        <v>-9389.22666666667</v>
      </c>
    </row>
    <row r="8" customFormat="false" ht="15" hidden="false" customHeight="false" outlineLevel="0" collapsed="false">
      <c r="A8" s="38" t="n">
        <v>350</v>
      </c>
      <c r="B8" s="24" t="n">
        <f aca="false">$A8*((1-Inputs!$B$15)*((B$5+Inputs!$B$7)*(1-Inputs!$B$8)-Inputs!$B$27*(Inputs!$B$28/Inputs!$B$36*Inputs!$B$34*(1+Inputs!$B$35)/60)-'Unit Economics'!$B$40)+Inputs!$B$15*'Unit Economics'!$B$42)-'Unit Economics'!$B$47</f>
        <v>-21730.7366666667</v>
      </c>
      <c r="C8" s="24" t="n">
        <f aca="false">$A8*((1-Inputs!$B$15)*((C$5+Inputs!$B$7)*(1-Inputs!$B$8)-Inputs!$B$27*(Inputs!$B$28/Inputs!$B$36*Inputs!$B$34*(1+Inputs!$B$35)/60)-'Unit Economics'!$B$40)+Inputs!$B$15*'Unit Economics'!$B$42)-'Unit Economics'!$B$47</f>
        <v>-17656.7366666667</v>
      </c>
      <c r="D8" s="24" t="n">
        <f aca="false">$A8*((1-Inputs!$B$15)*((D$5+Inputs!$B$7)*(1-Inputs!$B$8)-Inputs!$B$27*(Inputs!$B$28/Inputs!$B$36*Inputs!$B$34*(1+Inputs!$B$35)/60)-'Unit Economics'!$B$40)+Inputs!$B$15*'Unit Economics'!$B$42)-'Unit Economics'!$B$47</f>
        <v>-12564.2366666667</v>
      </c>
      <c r="E8" s="24" t="n">
        <f aca="false">$A8*((1-Inputs!$B$15)*((E$5+Inputs!$B$7)*(1-Inputs!$B$8)-Inputs!$B$27*(Inputs!$B$28/Inputs!$B$36*Inputs!$B$34*(1+Inputs!$B$35)/60)-'Unit Economics'!$B$40)+Inputs!$B$15*'Unit Economics'!$B$42)-'Unit Economics'!$B$47</f>
        <v>-8490.23666666667</v>
      </c>
      <c r="F8" s="24" t="n">
        <f aca="false">$A8*((1-Inputs!$B$15)*((F$5+Inputs!$B$7)*(1-Inputs!$B$8)-Inputs!$B$27*(Inputs!$B$28/Inputs!$B$36*Inputs!$B$34*(1+Inputs!$B$35)/60)-'Unit Economics'!$B$40)+Inputs!$B$15*'Unit Economics'!$B$42)-'Unit Economics'!$B$47</f>
        <v>-2379.23666666667</v>
      </c>
    </row>
    <row r="9" customFormat="false" ht="15" hidden="false" customHeight="false" outlineLevel="0" collapsed="false">
      <c r="A9" s="38" t="n">
        <v>400</v>
      </c>
      <c r="B9" s="24" t="n">
        <f aca="false">$A9*((1-Inputs!$B$15)*((B$5+Inputs!$B$7)*(1-Inputs!$B$8)-Inputs!$B$27*(Inputs!$B$28/Inputs!$B$36*Inputs!$B$34*(1+Inputs!$B$35)/60)-'Unit Economics'!$B$40)+Inputs!$B$15*'Unit Economics'!$B$42)-'Unit Economics'!$B$47</f>
        <v>-17485.2466666667</v>
      </c>
      <c r="C9" s="24" t="n">
        <f aca="false">$A9*((1-Inputs!$B$15)*((C$5+Inputs!$B$7)*(1-Inputs!$B$8)-Inputs!$B$27*(Inputs!$B$28/Inputs!$B$36*Inputs!$B$34*(1+Inputs!$B$35)/60)-'Unit Economics'!$B$40)+Inputs!$B$15*'Unit Economics'!$B$42)-'Unit Economics'!$B$47</f>
        <v>-12829.2466666667</v>
      </c>
      <c r="D9" s="24" t="n">
        <f aca="false">$A9*((1-Inputs!$B$15)*((D$5+Inputs!$B$7)*(1-Inputs!$B$8)-Inputs!$B$27*(Inputs!$B$28/Inputs!$B$36*Inputs!$B$34*(1+Inputs!$B$35)/60)-'Unit Economics'!$B$40)+Inputs!$B$15*'Unit Economics'!$B$42)-'Unit Economics'!$B$47</f>
        <v>-7009.24666666667</v>
      </c>
      <c r="E9" s="24" t="n">
        <f aca="false">$A9*((1-Inputs!$B$15)*((E$5+Inputs!$B$7)*(1-Inputs!$B$8)-Inputs!$B$27*(Inputs!$B$28/Inputs!$B$36*Inputs!$B$34*(1+Inputs!$B$35)/60)-'Unit Economics'!$B$40)+Inputs!$B$15*'Unit Economics'!$B$42)-'Unit Economics'!$B$47</f>
        <v>-2353.24666666667</v>
      </c>
      <c r="F9" s="24" t="n">
        <f aca="false">$A9*((1-Inputs!$B$15)*((F$5+Inputs!$B$7)*(1-Inputs!$B$8)-Inputs!$B$27*(Inputs!$B$28/Inputs!$B$36*Inputs!$B$34*(1+Inputs!$B$35)/60)-'Unit Economics'!$B$40)+Inputs!$B$15*'Unit Economics'!$B$42)-'Unit Economics'!$B$47</f>
        <v>4630.75333333333</v>
      </c>
    </row>
    <row r="10" customFormat="false" ht="15" hidden="false" customHeight="false" outlineLevel="0" collapsed="false">
      <c r="A10" s="38" t="n">
        <v>450</v>
      </c>
      <c r="B10" s="24" t="n">
        <f aca="false">$A10*((1-Inputs!$B$15)*((B$5+Inputs!$B$7)*(1-Inputs!$B$8)-Inputs!$B$27*(Inputs!$B$28/Inputs!$B$36*Inputs!$B$34*(1+Inputs!$B$35)/60)-'Unit Economics'!$B$40)+Inputs!$B$15*'Unit Economics'!$B$42)-'Unit Economics'!$B$47</f>
        <v>-13239.7566666667</v>
      </c>
      <c r="C10" s="24" t="n">
        <f aca="false">$A10*((1-Inputs!$B$15)*((C$5+Inputs!$B$7)*(1-Inputs!$B$8)-Inputs!$B$27*(Inputs!$B$28/Inputs!$B$36*Inputs!$B$34*(1+Inputs!$B$35)/60)-'Unit Economics'!$B$40)+Inputs!$B$15*'Unit Economics'!$B$42)-'Unit Economics'!$B$47</f>
        <v>-8001.75666666667</v>
      </c>
      <c r="D10" s="24" t="n">
        <f aca="false">$A10*((1-Inputs!$B$15)*((D$5+Inputs!$B$7)*(1-Inputs!$B$8)-Inputs!$B$27*(Inputs!$B$28/Inputs!$B$36*Inputs!$B$34*(1+Inputs!$B$35)/60)-'Unit Economics'!$B$40)+Inputs!$B$15*'Unit Economics'!$B$42)-'Unit Economics'!$B$47</f>
        <v>-1454.25666666666</v>
      </c>
      <c r="E10" s="24" t="n">
        <f aca="false">$A10*((1-Inputs!$B$15)*((E$5+Inputs!$B$7)*(1-Inputs!$B$8)-Inputs!$B$27*(Inputs!$B$28/Inputs!$B$36*Inputs!$B$34*(1+Inputs!$B$35)/60)-'Unit Economics'!$B$40)+Inputs!$B$15*'Unit Economics'!$B$42)-'Unit Economics'!$B$47</f>
        <v>3783.74333333333</v>
      </c>
      <c r="F10" s="24" t="n">
        <f aca="false">$A10*((1-Inputs!$B$15)*((F$5+Inputs!$B$7)*(1-Inputs!$B$8)-Inputs!$B$27*(Inputs!$B$28/Inputs!$B$36*Inputs!$B$34*(1+Inputs!$B$35)/60)-'Unit Economics'!$B$40)+Inputs!$B$15*'Unit Economics'!$B$42)-'Unit Economics'!$B$47</f>
        <v>11640.7433333333</v>
      </c>
    </row>
    <row r="11" customFormat="false" ht="15" hidden="false" customHeight="false" outlineLevel="0" collapsed="false">
      <c r="A11" s="38" t="n">
        <v>500</v>
      </c>
      <c r="B11" s="24" t="n">
        <f aca="false">$A11*((1-Inputs!$B$15)*((B$5+Inputs!$B$7)*(1-Inputs!$B$8)-Inputs!$B$27*(Inputs!$B$28/Inputs!$B$36*Inputs!$B$34*(1+Inputs!$B$35)/60)-'Unit Economics'!$B$40)+Inputs!$B$15*'Unit Economics'!$B$42)-'Unit Economics'!$B$47</f>
        <v>-8994.26666666666</v>
      </c>
      <c r="C11" s="24" t="n">
        <f aca="false">$A11*((1-Inputs!$B$15)*((C$5+Inputs!$B$7)*(1-Inputs!$B$8)-Inputs!$B$27*(Inputs!$B$28/Inputs!$B$36*Inputs!$B$34*(1+Inputs!$B$35)/60)-'Unit Economics'!$B$40)+Inputs!$B$15*'Unit Economics'!$B$42)-'Unit Economics'!$B$47</f>
        <v>-3174.26666666667</v>
      </c>
      <c r="D11" s="24" t="n">
        <f aca="false">$A11*((1-Inputs!$B$15)*((D$5+Inputs!$B$7)*(1-Inputs!$B$8)-Inputs!$B$27*(Inputs!$B$28/Inputs!$B$36*Inputs!$B$34*(1+Inputs!$B$35)/60)-'Unit Economics'!$B$40)+Inputs!$B$15*'Unit Economics'!$B$42)-'Unit Economics'!$B$47</f>
        <v>4100.73333333334</v>
      </c>
      <c r="E11" s="24" t="n">
        <f aca="false">$A11*((1-Inputs!$B$15)*((E$5+Inputs!$B$7)*(1-Inputs!$B$8)-Inputs!$B$27*(Inputs!$B$28/Inputs!$B$36*Inputs!$B$34*(1+Inputs!$B$35)/60)-'Unit Economics'!$B$40)+Inputs!$B$15*'Unit Economics'!$B$42)-'Unit Economics'!$B$47</f>
        <v>9920.73333333333</v>
      </c>
      <c r="F11" s="24" t="n">
        <f aca="false">$A11*((1-Inputs!$B$15)*((F$5+Inputs!$B$7)*(1-Inputs!$B$8)-Inputs!$B$27*(Inputs!$B$28/Inputs!$B$36*Inputs!$B$34*(1+Inputs!$B$35)/60)-'Unit Economics'!$B$40)+Inputs!$B$15*'Unit Economics'!$B$42)-'Unit Economics'!$B$47</f>
        <v>18650.7333333333</v>
      </c>
    </row>
    <row r="12" customFormat="false" ht="15" hidden="false" customHeight="false" outlineLevel="0" collapsed="false">
      <c r="A12" s="38" t="n">
        <v>550</v>
      </c>
      <c r="B12" s="24" t="n">
        <f aca="false">$A12*((1-Inputs!$B$15)*((B$5+Inputs!$B$7)*(1-Inputs!$B$8)-Inputs!$B$27*(Inputs!$B$28/Inputs!$B$36*Inputs!$B$34*(1+Inputs!$B$35)/60)-'Unit Economics'!$B$40)+Inputs!$B$15*'Unit Economics'!$B$42)-'Unit Economics'!$B$47</f>
        <v>-4748.77666666666</v>
      </c>
      <c r="C12" s="24" t="n">
        <f aca="false">$A12*((1-Inputs!$B$15)*((C$5+Inputs!$B$7)*(1-Inputs!$B$8)-Inputs!$B$27*(Inputs!$B$28/Inputs!$B$36*Inputs!$B$34*(1+Inputs!$B$35)/60)-'Unit Economics'!$B$40)+Inputs!$B$15*'Unit Economics'!$B$42)-'Unit Economics'!$B$47</f>
        <v>1653.22333333333</v>
      </c>
      <c r="D12" s="24" t="n">
        <f aca="false">$A12*((1-Inputs!$B$15)*((D$5+Inputs!$B$7)*(1-Inputs!$B$8)-Inputs!$B$27*(Inputs!$B$28/Inputs!$B$36*Inputs!$B$34*(1+Inputs!$B$35)/60)-'Unit Economics'!$B$40)+Inputs!$B$15*'Unit Economics'!$B$42)-'Unit Economics'!$B$47</f>
        <v>9655.72333333334</v>
      </c>
      <c r="E12" s="24" t="n">
        <f aca="false">$A12*((1-Inputs!$B$15)*((E$5+Inputs!$B$7)*(1-Inputs!$B$8)-Inputs!$B$27*(Inputs!$B$28/Inputs!$B$36*Inputs!$B$34*(1+Inputs!$B$35)/60)-'Unit Economics'!$B$40)+Inputs!$B$15*'Unit Economics'!$B$42)-'Unit Economics'!$B$47</f>
        <v>16057.7233333333</v>
      </c>
      <c r="F12" s="24" t="n">
        <f aca="false">$A12*((1-Inputs!$B$15)*((F$5+Inputs!$B$7)*(1-Inputs!$B$8)-Inputs!$B$27*(Inputs!$B$28/Inputs!$B$36*Inputs!$B$34*(1+Inputs!$B$35)/60)-'Unit Economics'!$B$40)+Inputs!$B$15*'Unit Economics'!$B$42)-'Unit Economics'!$B$47</f>
        <v>25660.7233333333</v>
      </c>
    </row>
    <row r="13" customFormat="false" ht="15" hidden="false" customHeight="false" outlineLevel="0" collapsed="false">
      <c r="A13" s="38" t="n">
        <v>600</v>
      </c>
      <c r="B13" s="24" t="n">
        <f aca="false">$A13*((1-Inputs!$B$15)*((B$5+Inputs!$B$7)*(1-Inputs!$B$8)-Inputs!$B$27*(Inputs!$B$28/Inputs!$B$36*Inputs!$B$34*(1+Inputs!$B$35)/60)-'Unit Economics'!$B$40)+Inputs!$B$15*'Unit Economics'!$B$42)-'Unit Economics'!$B$47</f>
        <v>-503.286666666652</v>
      </c>
      <c r="C13" s="24" t="n">
        <f aca="false">$A13*((1-Inputs!$B$15)*((C$5+Inputs!$B$7)*(1-Inputs!$B$8)-Inputs!$B$27*(Inputs!$B$28/Inputs!$B$36*Inputs!$B$34*(1+Inputs!$B$35)/60)-'Unit Economics'!$B$40)+Inputs!$B$15*'Unit Economics'!$B$42)-'Unit Economics'!$B$47</f>
        <v>6480.71333333333</v>
      </c>
      <c r="D13" s="24" t="n">
        <f aca="false">$A13*((1-Inputs!$B$15)*((D$5+Inputs!$B$7)*(1-Inputs!$B$8)-Inputs!$B$27*(Inputs!$B$28/Inputs!$B$36*Inputs!$B$34*(1+Inputs!$B$35)/60)-'Unit Economics'!$B$40)+Inputs!$B$15*'Unit Economics'!$B$42)-'Unit Economics'!$B$47</f>
        <v>15210.7133333333</v>
      </c>
      <c r="E13" s="24" t="n">
        <f aca="false">$A13*((1-Inputs!$B$15)*((E$5+Inputs!$B$7)*(1-Inputs!$B$8)-Inputs!$B$27*(Inputs!$B$28/Inputs!$B$36*Inputs!$B$34*(1+Inputs!$B$35)/60)-'Unit Economics'!$B$40)+Inputs!$B$15*'Unit Economics'!$B$42)-'Unit Economics'!$B$47</f>
        <v>22194.7133333333</v>
      </c>
      <c r="F13" s="24" t="n">
        <f aca="false">$A13*((1-Inputs!$B$15)*((F$5+Inputs!$B$7)*(1-Inputs!$B$8)-Inputs!$B$27*(Inputs!$B$28/Inputs!$B$36*Inputs!$B$34*(1+Inputs!$B$35)/60)-'Unit Economics'!$B$40)+Inputs!$B$15*'Unit Economics'!$B$42)-'Unit Economics'!$B$47</f>
        <v>32670.7133333333</v>
      </c>
    </row>
    <row r="14" customFormat="false" ht="15" hidden="false" customHeight="false" outlineLevel="0" collapsed="false">
      <c r="A14" s="38" t="n">
        <v>700</v>
      </c>
      <c r="B14" s="24" t="n">
        <f aca="false">$A14*((1-Inputs!$B$15)*((B$5+Inputs!$B$7)*(1-Inputs!$B$8)-Inputs!$B$27*(Inputs!$B$28/Inputs!$B$36*Inputs!$B$34*(1+Inputs!$B$35)/60)-'Unit Economics'!$B$40)+Inputs!$B$15*'Unit Economics'!$B$42)-'Unit Economics'!$B$47</f>
        <v>7987.69333333335</v>
      </c>
      <c r="C14" s="24" t="n">
        <f aca="false">$A14*((1-Inputs!$B$15)*((C$5+Inputs!$B$7)*(1-Inputs!$B$8)-Inputs!$B$27*(Inputs!$B$28/Inputs!$B$36*Inputs!$B$34*(1+Inputs!$B$35)/60)-'Unit Economics'!$B$40)+Inputs!$B$15*'Unit Economics'!$B$42)-'Unit Economics'!$B$47</f>
        <v>16135.6933333333</v>
      </c>
      <c r="D14" s="24" t="n">
        <f aca="false">$A14*((1-Inputs!$B$15)*((D$5+Inputs!$B$7)*(1-Inputs!$B$8)-Inputs!$B$27*(Inputs!$B$28/Inputs!$B$36*Inputs!$B$34*(1+Inputs!$B$35)/60)-'Unit Economics'!$B$40)+Inputs!$B$15*'Unit Economics'!$B$42)-'Unit Economics'!$B$47</f>
        <v>26320.6933333333</v>
      </c>
      <c r="E14" s="24" t="n">
        <f aca="false">$A14*((1-Inputs!$B$15)*((E$5+Inputs!$B$7)*(1-Inputs!$B$8)-Inputs!$B$27*(Inputs!$B$28/Inputs!$B$36*Inputs!$B$34*(1+Inputs!$B$35)/60)-'Unit Economics'!$B$40)+Inputs!$B$15*'Unit Economics'!$B$42)-'Unit Economics'!$B$47</f>
        <v>34468.6933333333</v>
      </c>
      <c r="F14" s="24" t="n">
        <f aca="false">$A14*((1-Inputs!$B$15)*((F$5+Inputs!$B$7)*(1-Inputs!$B$8)-Inputs!$B$27*(Inputs!$B$28/Inputs!$B$36*Inputs!$B$34*(1+Inputs!$B$35)/60)-'Unit Economics'!$B$40)+Inputs!$B$15*'Unit Economics'!$B$42)-'Unit Economics'!$B$47</f>
        <v>46690.6933333333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192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8" t="s">
        <v>193</v>
      </c>
      <c r="B18" s="37" t="n">
        <v>130</v>
      </c>
      <c r="C18" s="37" t="n">
        <v>150</v>
      </c>
      <c r="D18" s="37" t="n">
        <v>175</v>
      </c>
      <c r="E18" s="37" t="n">
        <v>195</v>
      </c>
      <c r="F18" s="37" t="n">
        <v>225</v>
      </c>
    </row>
    <row r="19" customFormat="false" ht="15" hidden="false" customHeight="false" outlineLevel="0" collapsed="false">
      <c r="A19" s="39" t="n">
        <v>0</v>
      </c>
      <c r="B19" s="24" t="n">
        <f aca="false">Inputs!$B$9*((1-Inputs!$B$15)*((B$18+Inputs!$B$7)*(1-Inputs!$B$8)-$A19*(Inputs!$B$28/Inputs!$B$36*Inputs!$B$34*(1+Inputs!$B$35)/60)-'Unit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3672.14333333334</v>
      </c>
      <c r="C19" s="24" t="n">
        <f aca="false">Inputs!$B$9*((1-Inputs!$B$15)*((C$18+Inputs!$B$7)*(1-Inputs!$B$8)-$A19*(Inputs!$B$28/Inputs!$B$36*Inputs!$B$34*(1+Inputs!$B$35)/60)-'Unit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8910.14333333333</v>
      </c>
      <c r="D19" s="24" t="n">
        <f aca="false">Inputs!$B$9*((1-Inputs!$B$15)*((D$18+Inputs!$B$7)*(1-Inputs!$B$8)-$A19*(Inputs!$B$28/Inputs!$B$36*Inputs!$B$34*(1+Inputs!$B$35)/60)-'Unit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15457.6433333333</v>
      </c>
      <c r="E19" s="24" t="n">
        <f aca="false">Inputs!$B$9*((1-Inputs!$B$15)*((E$18+Inputs!$B$7)*(1-Inputs!$B$8)-$A19*(Inputs!$B$28/Inputs!$B$36*Inputs!$B$34*(1+Inputs!$B$35)/60)-'Unit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20695.6433333333</v>
      </c>
      <c r="F19" s="24" t="n">
        <f aca="false">Inputs!$B$9*((1-Inputs!$B$15)*((F$18+Inputs!$B$7)*(1-Inputs!$B$8)-$A19*(Inputs!$B$28/Inputs!$B$36*Inputs!$B$34*(1+Inputs!$B$35)/60)-'Unit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28552.6433333333</v>
      </c>
    </row>
    <row r="20" customFormat="false" ht="15" hidden="false" customHeight="false" outlineLevel="0" collapsed="false">
      <c r="A20" s="39" t="n">
        <v>30</v>
      </c>
      <c r="B20" s="24" t="n">
        <f aca="false">Inputs!$B$9*((1-Inputs!$B$15)*((B$18+Inputs!$B$7)*(1-Inputs!$B$8)-$A20*(Inputs!$B$28/Inputs!$B$36*Inputs!$B$34*(1+Inputs!$B$35)/60)-'Unit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-4783.80666666666</v>
      </c>
      <c r="C20" s="24" t="n">
        <f aca="false">Inputs!$B$9*((1-Inputs!$B$15)*((C$18+Inputs!$B$7)*(1-Inputs!$B$8)-$A20*(Inputs!$B$28/Inputs!$B$36*Inputs!$B$34*(1+Inputs!$B$35)/60)-'Unit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454.193333333336</v>
      </c>
      <c r="D20" s="24" t="n">
        <f aca="false">Inputs!$B$9*((1-Inputs!$B$15)*((D$18+Inputs!$B$7)*(1-Inputs!$B$8)-$A20*(Inputs!$B$28/Inputs!$B$36*Inputs!$B$34*(1+Inputs!$B$35)/60)-'Unit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7001.69333333333</v>
      </c>
      <c r="E20" s="24" t="n">
        <f aca="false">Inputs!$B$9*((1-Inputs!$B$15)*((E$18+Inputs!$B$7)*(1-Inputs!$B$8)-$A20*(Inputs!$B$28/Inputs!$B$36*Inputs!$B$34*(1+Inputs!$B$35)/60)-'Unit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12239.6933333333</v>
      </c>
      <c r="F20" s="24" t="n">
        <f aca="false">Inputs!$B$9*((1-Inputs!$B$15)*((F$18+Inputs!$B$7)*(1-Inputs!$B$8)-$A20*(Inputs!$B$28/Inputs!$B$36*Inputs!$B$34*(1+Inputs!$B$35)/60)-'Unit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20096.6933333333</v>
      </c>
    </row>
    <row r="21" customFormat="false" ht="15" hidden="false" customHeight="false" outlineLevel="0" collapsed="false">
      <c r="A21" s="39" t="n">
        <v>45</v>
      </c>
      <c r="B21" s="24" t="n">
        <f aca="false">Inputs!$B$9*((1-Inputs!$B$15)*((B$18+Inputs!$B$7)*(1-Inputs!$B$8)-$A21*(Inputs!$B$28/Inputs!$B$36*Inputs!$B$34*(1+Inputs!$B$35)/60)-'Unit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-9011.78166666667</v>
      </c>
      <c r="C21" s="24" t="n">
        <f aca="false">Inputs!$B$9*((1-Inputs!$B$15)*((C$18+Inputs!$B$7)*(1-Inputs!$B$8)-$A21*(Inputs!$B$28/Inputs!$B$36*Inputs!$B$34*(1+Inputs!$B$35)/60)-'Unit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-3773.78166666668</v>
      </c>
      <c r="D21" s="24" t="n">
        <f aca="false">Inputs!$B$9*((1-Inputs!$B$15)*((D$18+Inputs!$B$7)*(1-Inputs!$B$8)-$A21*(Inputs!$B$28/Inputs!$B$36*Inputs!$B$34*(1+Inputs!$B$35)/60)-'Unit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2773.71833333333</v>
      </c>
      <c r="E21" s="24" t="n">
        <f aca="false">Inputs!$B$9*((1-Inputs!$B$15)*((E$18+Inputs!$B$7)*(1-Inputs!$B$8)-$A21*(Inputs!$B$28/Inputs!$B$36*Inputs!$B$34*(1+Inputs!$B$35)/60)-'Unit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8011.71833333334</v>
      </c>
      <c r="F21" s="24" t="n">
        <f aca="false">Inputs!$B$9*((1-Inputs!$B$15)*((F$18+Inputs!$B$7)*(1-Inputs!$B$8)-$A21*(Inputs!$B$28/Inputs!$B$36*Inputs!$B$34*(1+Inputs!$B$35)/60)-'Unit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15868.7183333333</v>
      </c>
    </row>
    <row r="22" customFormat="false" ht="15" hidden="false" customHeight="false" outlineLevel="0" collapsed="false">
      <c r="A22" s="39" t="n">
        <v>60</v>
      </c>
      <c r="B22" s="24" t="n">
        <f aca="false">Inputs!$B$9*((1-Inputs!$B$15)*((B$18+Inputs!$B$7)*(1-Inputs!$B$8)-$A22*(Inputs!$B$28/Inputs!$B$36*Inputs!$B$34*(1+Inputs!$B$35)/60)-'Unit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-13239.7566666667</v>
      </c>
      <c r="C22" s="24" t="n">
        <f aca="false">Inputs!$B$9*((1-Inputs!$B$15)*((C$18+Inputs!$B$7)*(1-Inputs!$B$8)-$A22*(Inputs!$B$28/Inputs!$B$36*Inputs!$B$34*(1+Inputs!$B$35)/60)-'Unit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-8001.75666666667</v>
      </c>
      <c r="D22" s="24" t="n">
        <f aca="false">Inputs!$B$9*((1-Inputs!$B$15)*((D$18+Inputs!$B$7)*(1-Inputs!$B$8)-$A22*(Inputs!$B$28/Inputs!$B$36*Inputs!$B$34*(1+Inputs!$B$35)/60)-'Unit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-1454.25666666666</v>
      </c>
      <c r="E22" s="24" t="n">
        <f aca="false">Inputs!$B$9*((1-Inputs!$B$15)*((E$18+Inputs!$B$7)*(1-Inputs!$B$8)-$A22*(Inputs!$B$28/Inputs!$B$36*Inputs!$B$34*(1+Inputs!$B$35)/60)-'Unit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3783.74333333333</v>
      </c>
      <c r="F22" s="24" t="n">
        <f aca="false">Inputs!$B$9*((1-Inputs!$B$15)*((F$18+Inputs!$B$7)*(1-Inputs!$B$8)-$A22*(Inputs!$B$28/Inputs!$B$36*Inputs!$B$34*(1+Inputs!$B$35)/60)-'Unit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11640.7433333333</v>
      </c>
    </row>
    <row r="23" customFormat="false" ht="15" hidden="false" customHeight="false" outlineLevel="0" collapsed="false">
      <c r="A23" s="39" t="n">
        <v>90</v>
      </c>
      <c r="B23" s="24" t="n">
        <f aca="false">Inputs!$B$9*((1-Inputs!$B$15)*((B$18+Inputs!$B$7)*(1-Inputs!$B$8)-$A23*(Inputs!$B$28/Inputs!$B$36*Inputs!$B$34*(1+Inputs!$B$35)/60)-'Unit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-21695.7066666667</v>
      </c>
      <c r="C23" s="24" t="n">
        <f aca="false">Inputs!$B$9*((1-Inputs!$B$15)*((C$18+Inputs!$B$7)*(1-Inputs!$B$8)-$A23*(Inputs!$B$28/Inputs!$B$36*Inputs!$B$34*(1+Inputs!$B$35)/60)-'Unit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-16457.7066666667</v>
      </c>
      <c r="D23" s="24" t="n">
        <f aca="false">Inputs!$B$9*((1-Inputs!$B$15)*((D$18+Inputs!$B$7)*(1-Inputs!$B$8)-$A23*(Inputs!$B$28/Inputs!$B$36*Inputs!$B$34*(1+Inputs!$B$35)/60)-'Unit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-9910.20666666667</v>
      </c>
      <c r="E23" s="24" t="n">
        <f aca="false">Inputs!$B$9*((1-Inputs!$B$15)*((E$18+Inputs!$B$7)*(1-Inputs!$B$8)-$A23*(Inputs!$B$28/Inputs!$B$36*Inputs!$B$34*(1+Inputs!$B$35)/60)-'Unit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-4672.20666666667</v>
      </c>
      <c r="F23" s="24" t="n">
        <f aca="false">Inputs!$B$9*((1-Inputs!$B$15)*((F$18+Inputs!$B$7)*(1-Inputs!$B$8)-$A23*(Inputs!$B$28/Inputs!$B$36*Inputs!$B$34*(1+Inputs!$B$35)/60)-'Unit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3184.79333333333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</row>
    <row r="26" customFormat="false" ht="15" hidden="false" customHeight="false" outlineLevel="0" collapsed="false">
      <c r="A26" s="3" t="s">
        <v>194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8" t="s">
        <v>195</v>
      </c>
      <c r="B27" s="37" t="n">
        <v>100</v>
      </c>
      <c r="C27" s="37" t="n">
        <v>115</v>
      </c>
      <c r="D27" s="37" t="n">
        <v>125</v>
      </c>
      <c r="E27" s="37" t="n">
        <v>140</v>
      </c>
      <c r="F27" s="37" t="n">
        <v>150</v>
      </c>
    </row>
    <row r="28" customFormat="false" ht="15" hidden="false" customHeight="false" outlineLevel="0" collapsed="false">
      <c r="A28" s="40" t="n">
        <v>0</v>
      </c>
      <c r="B28" s="24" t="n">
        <f aca="false">Inputs!$B$9*((1-$A28)*'Unit Economics'!$B$41+$A28*(B$27*(1-Inputs!$B$19)+Inputs!$B$17*(Inputs!$B$7*(1-Inputs!$B$8)-'Unit Economics'!$B$39-'Unit Economics'!$B$40)))-'Unit Economics'!$B$47</f>
        <v>-4680.66666666666</v>
      </c>
      <c r="C28" s="24" t="n">
        <f aca="false">Inputs!$B$9*((1-$A28)*'Unit Economics'!$B$41+$A28*(C$27*(1-Inputs!$B$19)+Inputs!$B$17*(Inputs!$B$7*(1-Inputs!$B$8)-'Unit Economics'!$B$39-'Unit Economics'!$B$40)))-'Unit Economics'!$B$47</f>
        <v>-4680.66666666666</v>
      </c>
      <c r="D28" s="24" t="n">
        <f aca="false">Inputs!$B$9*((1-$A28)*'Unit Economics'!$B$41+$A28*(D$27*(1-Inputs!$B$19)+Inputs!$B$17*(Inputs!$B$7*(1-Inputs!$B$8)-'Unit Economics'!$B$39-'Unit Economics'!$B$40)))-'Unit Economics'!$B$47</f>
        <v>-4680.66666666666</v>
      </c>
      <c r="E28" s="24" t="n">
        <f aca="false">Inputs!$B$9*((1-$A28)*'Unit Economics'!$B$41+$A28*(E$27*(1-Inputs!$B$19)+Inputs!$B$17*(Inputs!$B$7*(1-Inputs!$B$8)-'Unit Economics'!$B$39-'Unit Economics'!$B$40)))-'Unit Economics'!$B$47</f>
        <v>-4680.66666666666</v>
      </c>
      <c r="F28" s="24" t="n">
        <f aca="false">Inputs!$B$9*((1-$A28)*'Unit Economics'!$B$41+$A28*(F$27*(1-Inputs!$B$19)+Inputs!$B$17*(Inputs!$B$7*(1-Inputs!$B$8)-'Unit Economics'!$B$39-'Unit Economics'!$B$40)))-'Unit Economics'!$B$47</f>
        <v>-4680.66666666666</v>
      </c>
    </row>
    <row r="29" customFormat="false" ht="15" hidden="false" customHeight="false" outlineLevel="0" collapsed="false">
      <c r="A29" s="40" t="n">
        <v>0.2</v>
      </c>
      <c r="B29" s="24" t="n">
        <f aca="false">Inputs!$B$9*((1-$A29)*'Unit Economics'!$B$41+$A29*(B$27*(1-Inputs!$B$19)+Inputs!$B$17*(Inputs!$B$7*(1-Inputs!$B$8)-'Unit Economics'!$B$39-'Unit Economics'!$B$40)))-'Unit Economics'!$B$47</f>
        <v>-8366.21166666666</v>
      </c>
      <c r="C29" s="24" t="n">
        <f aca="false">Inputs!$B$9*((1-$A29)*'Unit Economics'!$B$41+$A29*(C$27*(1-Inputs!$B$19)+Inputs!$B$17*(Inputs!$B$7*(1-Inputs!$B$8)-'Unit Economics'!$B$39-'Unit Economics'!$B$40)))-'Unit Economics'!$B$47</f>
        <v>-7151.21166666666</v>
      </c>
      <c r="D29" s="24" t="n">
        <f aca="false">Inputs!$B$9*((1-$A29)*'Unit Economics'!$B$41+$A29*(D$27*(1-Inputs!$B$19)+Inputs!$B$17*(Inputs!$B$7*(1-Inputs!$B$8)-'Unit Economics'!$B$39-'Unit Economics'!$B$40)))-'Unit Economics'!$B$47</f>
        <v>-6341.21166666666</v>
      </c>
      <c r="E29" s="24" t="n">
        <f aca="false">Inputs!$B$9*((1-$A29)*'Unit Economics'!$B$41+$A29*(E$27*(1-Inputs!$B$19)+Inputs!$B$17*(Inputs!$B$7*(1-Inputs!$B$8)-'Unit Economics'!$B$39-'Unit Economics'!$B$40)))-'Unit Economics'!$B$47</f>
        <v>-5126.21166666666</v>
      </c>
      <c r="F29" s="24" t="n">
        <f aca="false">Inputs!$B$9*((1-$A29)*'Unit Economics'!$B$41+$A29*(F$27*(1-Inputs!$B$19)+Inputs!$B$17*(Inputs!$B$7*(1-Inputs!$B$8)-'Unit Economics'!$B$39-'Unit Economics'!$B$40)))-'Unit Economics'!$B$47</f>
        <v>-4316.21166666666</v>
      </c>
    </row>
    <row r="30" customFormat="false" ht="15" hidden="false" customHeight="false" outlineLevel="0" collapsed="false">
      <c r="A30" s="40" t="n">
        <v>0.4</v>
      </c>
      <c r="B30" s="24" t="n">
        <f aca="false">Inputs!$B$9*((1-$A30)*'Unit Economics'!$B$41+$A30*(B$27*(1-Inputs!$B$19)+Inputs!$B$17*(Inputs!$B$7*(1-Inputs!$B$8)-'Unit Economics'!$B$39-'Unit Economics'!$B$40)))-'Unit Economics'!$B$47</f>
        <v>-12051.7566666667</v>
      </c>
      <c r="C30" s="24" t="n">
        <f aca="false">Inputs!$B$9*((1-$A30)*'Unit Economics'!$B$41+$A30*(C$27*(1-Inputs!$B$19)+Inputs!$B$17*(Inputs!$B$7*(1-Inputs!$B$8)-'Unit Economics'!$B$39-'Unit Economics'!$B$40)))-'Unit Economics'!$B$47</f>
        <v>-9621.75666666667</v>
      </c>
      <c r="D30" s="24" t="n">
        <f aca="false">Inputs!$B$9*((1-$A30)*'Unit Economics'!$B$41+$A30*(D$27*(1-Inputs!$B$19)+Inputs!$B$17*(Inputs!$B$7*(1-Inputs!$B$8)-'Unit Economics'!$B$39-'Unit Economics'!$B$40)))-'Unit Economics'!$B$47</f>
        <v>-8001.75666666667</v>
      </c>
      <c r="E30" s="24" t="n">
        <f aca="false">Inputs!$B$9*((1-$A30)*'Unit Economics'!$B$41+$A30*(E$27*(1-Inputs!$B$19)+Inputs!$B$17*(Inputs!$B$7*(1-Inputs!$B$8)-'Unit Economics'!$B$39-'Unit Economics'!$B$40)))-'Unit Economics'!$B$47</f>
        <v>-5571.75666666667</v>
      </c>
      <c r="F30" s="24" t="n">
        <f aca="false">Inputs!$B$9*((1-$A30)*'Unit Economics'!$B$41+$A30*(F$27*(1-Inputs!$B$19)+Inputs!$B$17*(Inputs!$B$7*(1-Inputs!$B$8)-'Unit Economics'!$B$39-'Unit Economics'!$B$40)))-'Unit Economics'!$B$47</f>
        <v>-3951.75666666667</v>
      </c>
    </row>
    <row r="31" customFormat="false" ht="15" hidden="false" customHeight="false" outlineLevel="0" collapsed="false">
      <c r="A31" s="40" t="n">
        <v>0.6</v>
      </c>
      <c r="B31" s="24" t="n">
        <f aca="false">Inputs!$B$9*((1-$A31)*'Unit Economics'!$B$41+$A31*(B$27*(1-Inputs!$B$19)+Inputs!$B$17*(Inputs!$B$7*(1-Inputs!$B$8)-'Unit Economics'!$B$39-'Unit Economics'!$B$40)))-'Unit Economics'!$B$47</f>
        <v>-15737.3016666667</v>
      </c>
      <c r="C31" s="24" t="n">
        <f aca="false">Inputs!$B$9*((1-$A31)*'Unit Economics'!$B$41+$A31*(C$27*(1-Inputs!$B$19)+Inputs!$B$17*(Inputs!$B$7*(1-Inputs!$B$8)-'Unit Economics'!$B$39-'Unit Economics'!$B$40)))-'Unit Economics'!$B$47</f>
        <v>-12092.3016666667</v>
      </c>
      <c r="D31" s="24" t="n">
        <f aca="false">Inputs!$B$9*((1-$A31)*'Unit Economics'!$B$41+$A31*(D$27*(1-Inputs!$B$19)+Inputs!$B$17*(Inputs!$B$7*(1-Inputs!$B$8)-'Unit Economics'!$B$39-'Unit Economics'!$B$40)))-'Unit Economics'!$B$47</f>
        <v>-9662.30166666666</v>
      </c>
      <c r="E31" s="24" t="n">
        <f aca="false">Inputs!$B$9*((1-$A31)*'Unit Economics'!$B$41+$A31*(E$27*(1-Inputs!$B$19)+Inputs!$B$17*(Inputs!$B$7*(1-Inputs!$B$8)-'Unit Economics'!$B$39-'Unit Economics'!$B$40)))-'Unit Economics'!$B$47</f>
        <v>-6017.30166666667</v>
      </c>
      <c r="F31" s="24" t="n">
        <f aca="false">Inputs!$B$9*((1-$A31)*'Unit Economics'!$B$41+$A31*(F$27*(1-Inputs!$B$19)+Inputs!$B$17*(Inputs!$B$7*(1-Inputs!$B$8)-'Unit Economics'!$B$39-'Unit Economics'!$B$40)))-'Unit Economics'!$B$47</f>
        <v>-3587.30166666666</v>
      </c>
    </row>
    <row r="32" customFormat="false" ht="15" hidden="false" customHeight="false" outlineLevel="0" collapsed="false">
      <c r="A32" s="40" t="n">
        <v>0.8</v>
      </c>
      <c r="B32" s="24" t="n">
        <f aca="false">Inputs!$B$9*((1-$A32)*'Unit Economics'!$B$41+$A32*(B$27*(1-Inputs!$B$19)+Inputs!$B$17*(Inputs!$B$7*(1-Inputs!$B$8)-'Unit Economics'!$B$39-'Unit Economics'!$B$40)))-'Unit Economics'!$B$47</f>
        <v>-19422.8466666667</v>
      </c>
      <c r="C32" s="24" t="n">
        <f aca="false">Inputs!$B$9*((1-$A32)*'Unit Economics'!$B$41+$A32*(C$27*(1-Inputs!$B$19)+Inputs!$B$17*(Inputs!$B$7*(1-Inputs!$B$8)-'Unit Economics'!$B$39-'Unit Economics'!$B$40)))-'Unit Economics'!$B$47</f>
        <v>-14562.8466666667</v>
      </c>
      <c r="D32" s="24" t="n">
        <f aca="false">Inputs!$B$9*((1-$A32)*'Unit Economics'!$B$41+$A32*(D$27*(1-Inputs!$B$19)+Inputs!$B$17*(Inputs!$B$7*(1-Inputs!$B$8)-'Unit Economics'!$B$39-'Unit Economics'!$B$40)))-'Unit Economics'!$B$47</f>
        <v>-11322.8466666667</v>
      </c>
      <c r="E32" s="24" t="n">
        <f aca="false">Inputs!$B$9*((1-$A32)*'Unit Economics'!$B$41+$A32*(E$27*(1-Inputs!$B$19)+Inputs!$B$17*(Inputs!$B$7*(1-Inputs!$B$8)-'Unit Economics'!$B$39-'Unit Economics'!$B$40)))-'Unit Economics'!$B$47</f>
        <v>-6462.84666666666</v>
      </c>
      <c r="F32" s="24" t="n">
        <f aca="false">Inputs!$B$9*((1-$A32)*'Unit Economics'!$B$41+$A32*(F$27*(1-Inputs!$B$19)+Inputs!$B$17*(Inputs!$B$7*(1-Inputs!$B$8)-'Unit Economics'!$B$39-'Unit Economics'!$B$40)))-'Unit Economics'!$B$47</f>
        <v>-3222.84666666666</v>
      </c>
    </row>
  </sheetData>
  <conditionalFormatting sqref="B6:F14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19:F23">
    <cfRule type="cellIs" priority="4" operator="greaterThanOrEqual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28:F32">
    <cfRule type="cellIs" priority="6" operator="greaterThanOrEqual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196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197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8"/>
      <c r="B4" s="8" t="s">
        <v>109</v>
      </c>
      <c r="C4" s="8" t="s">
        <v>110</v>
      </c>
      <c r="D4" s="8" t="s">
        <v>111</v>
      </c>
      <c r="E4" s="8" t="s">
        <v>112</v>
      </c>
      <c r="F4" s="8" t="s">
        <v>113</v>
      </c>
    </row>
    <row r="5" customFormat="false" ht="15" hidden="false" customHeight="false" outlineLevel="0" collapsed="false">
      <c r="A5" s="2" t="s">
        <v>198</v>
      </c>
      <c r="B5" s="22" t="n">
        <f aca="false">Inputs!B72</f>
        <v>1</v>
      </c>
      <c r="C5" s="22" t="n">
        <f aca="false">Inputs!C72</f>
        <v>1</v>
      </c>
      <c r="D5" s="22" t="n">
        <f aca="false">Inputs!D72</f>
        <v>2</v>
      </c>
      <c r="E5" s="22" t="n">
        <f aca="false">Inputs!E72</f>
        <v>4</v>
      </c>
      <c r="F5" s="22" t="n">
        <f aca="false">Inputs!F72</f>
        <v>6</v>
      </c>
    </row>
    <row r="6" customFormat="false" ht="15" hidden="false" customHeight="false" outlineLevel="0" collapsed="false">
      <c r="A6" s="2" t="s">
        <v>199</v>
      </c>
      <c r="B6" s="23" t="n">
        <f aca="false">0</f>
        <v>0</v>
      </c>
      <c r="C6" s="23" t="n">
        <f aca="false">B5</f>
        <v>1</v>
      </c>
      <c r="D6" s="23" t="n">
        <f aca="false">C5</f>
        <v>1</v>
      </c>
      <c r="E6" s="23" t="n">
        <f aca="false">D5</f>
        <v>2</v>
      </c>
      <c r="F6" s="23" t="n">
        <f aca="false">E5</f>
        <v>4</v>
      </c>
    </row>
    <row r="7" customFormat="false" ht="15" hidden="false" customHeight="false" outlineLevel="0" collapsed="false">
      <c r="A7" s="2" t="s">
        <v>200</v>
      </c>
      <c r="B7" s="23" t="n">
        <f aca="false">0</f>
        <v>0</v>
      </c>
      <c r="C7" s="23" t="n">
        <f aca="false">B7+B6</f>
        <v>0</v>
      </c>
      <c r="D7" s="23" t="n">
        <f aca="false">C7+C6</f>
        <v>1</v>
      </c>
      <c r="E7" s="23" t="n">
        <f aca="false">D7+D6</f>
        <v>2</v>
      </c>
      <c r="F7" s="23" t="n">
        <f aca="false">E7+E6</f>
        <v>4</v>
      </c>
    </row>
    <row r="8" customFormat="false" ht="15" hidden="false" customHeight="false" outlineLevel="0" collapsed="false">
      <c r="A8" s="2" t="s">
        <v>201</v>
      </c>
      <c r="B8" s="23" t="n">
        <f aca="false">B5+B6+B7</f>
        <v>1</v>
      </c>
      <c r="C8" s="23" t="n">
        <f aca="false">C5+C6+C7</f>
        <v>2</v>
      </c>
      <c r="D8" s="23" t="n">
        <f aca="false">D5+D6+D7</f>
        <v>4</v>
      </c>
      <c r="E8" s="23" t="n">
        <f aca="false">E5+E6+E7</f>
        <v>8</v>
      </c>
      <c r="F8" s="23" t="n">
        <f aca="false">F5+F6+F7</f>
        <v>14</v>
      </c>
    </row>
    <row r="9" customFormat="false" ht="15" hidden="false" customHeight="false" outlineLevel="0" collapsed="false">
      <c r="A9" s="2" t="s">
        <v>126</v>
      </c>
      <c r="B9" s="24" t="n">
        <f aca="false">B5*SUM('36-Month Ramp'!C6:N6)+B6*SUM('36-Month Ramp'!O6:Z6)+B7*SUM('36-Month Ramp'!AA6:AL6)</f>
        <v>521754.586322441</v>
      </c>
      <c r="C9" s="24" t="n">
        <f aca="false">C5*SUM('36-Month Ramp'!C6:N6)+C6*SUM('36-Month Ramp'!O6:Z6)+C7*SUM('36-Month Ramp'!AA6:AL6)</f>
        <v>1347414.58632244</v>
      </c>
      <c r="D9" s="24" t="n">
        <f aca="false">D5*SUM('36-Month Ramp'!C6:N6)+D6*SUM('36-Month Ramp'!O6:Z6)+D7*SUM('36-Month Ramp'!AA6:AL6)</f>
        <v>2694829.17264488</v>
      </c>
      <c r="E9" s="24" t="n">
        <f aca="false">E5*SUM('36-Month Ramp'!C6:N6)+E6*SUM('36-Month Ramp'!O6:Z6)+E7*SUM('36-Month Ramp'!AA6:AL6)</f>
        <v>5389658.34528977</v>
      </c>
      <c r="F9" s="24" t="n">
        <f aca="false">F5*SUM('36-Month Ramp'!C6:N6)+F6*SUM('36-Month Ramp'!O6:Z6)+F7*SUM('36-Month Ramp'!AA6:AL6)</f>
        <v>9735807.51793465</v>
      </c>
    </row>
    <row r="10" customFormat="false" ht="15" hidden="false" customHeight="false" outlineLevel="0" collapsed="false">
      <c r="A10" s="2" t="s">
        <v>202</v>
      </c>
      <c r="B10" s="24" t="n">
        <f aca="false">B5*SUM('36-Month Ramp'!C10:N10)+B6*SUM('36-Month Ramp'!O10:Z10)+B7*SUM('36-Month Ramp'!AA10:AL10)</f>
        <v>-287924.329898532</v>
      </c>
      <c r="C10" s="24" t="n">
        <f aca="false">C5*SUM('36-Month Ramp'!C10:N10)+C6*SUM('36-Month Ramp'!O10:Z10)+C7*SUM('36-Month Ramp'!AA10:AL10)</f>
        <v>-383945.409898532</v>
      </c>
      <c r="D10" s="24" t="n">
        <f aca="false">D5*SUM('36-Month Ramp'!C10:N10)+D6*SUM('36-Month Ramp'!O10:Z10)+D7*SUM('36-Month Ramp'!AA10:AL10)</f>
        <v>-767890.819797064</v>
      </c>
      <c r="E10" s="24" t="n">
        <f aca="false">E5*SUM('36-Month Ramp'!C10:N10)+E6*SUM('36-Month Ramp'!O10:Z10)+E7*SUM('36-Month Ramp'!AA10:AL10)</f>
        <v>-1535781.63959413</v>
      </c>
      <c r="F10" s="24" t="n">
        <f aca="false">F5*SUM('36-Month Ramp'!C10:N10)+F6*SUM('36-Month Ramp'!O10:Z10)+F7*SUM('36-Month Ramp'!AA10:AL10)</f>
        <v>-2495714.61939119</v>
      </c>
    </row>
    <row r="11" customFormat="false" ht="15" hidden="false" customHeight="false" outlineLevel="0" collapsed="false">
      <c r="A11" s="2" t="s">
        <v>203</v>
      </c>
      <c r="B11" s="24" t="n">
        <f aca="false">-Inputs!B73</f>
        <v>-150000</v>
      </c>
      <c r="C11" s="24" t="n">
        <f aca="false">-Inputs!C73</f>
        <v>-400000</v>
      </c>
      <c r="D11" s="24" t="n">
        <f aca="false">-Inputs!D73</f>
        <v>-800000</v>
      </c>
      <c r="E11" s="24" t="n">
        <f aca="false">-Inputs!E73</f>
        <v>-1400000</v>
      </c>
      <c r="F11" s="24" t="n">
        <f aca="false">-Inputs!F73</f>
        <v>-2200000</v>
      </c>
    </row>
    <row r="12" customFormat="false" ht="15" hidden="false" customHeight="false" outlineLevel="0" collapsed="false">
      <c r="A12" s="3" t="s">
        <v>204</v>
      </c>
      <c r="B12" s="26" t="n">
        <f aca="false">B10+B11</f>
        <v>-437924.329898532</v>
      </c>
      <c r="C12" s="26" t="n">
        <f aca="false">C10+C11</f>
        <v>-783945.409898532</v>
      </c>
      <c r="D12" s="26" t="n">
        <f aca="false">D10+D11</f>
        <v>-1567890.81979706</v>
      </c>
      <c r="E12" s="26" t="n">
        <f aca="false">E10+E11</f>
        <v>-2935781.63959413</v>
      </c>
      <c r="F12" s="26" t="n">
        <f aca="false">F10+F11</f>
        <v>-4695714.61939119</v>
      </c>
    </row>
    <row r="13" customFormat="false" ht="15" hidden="false" customHeight="false" outlineLevel="0" collapsed="false">
      <c r="A13" s="2" t="s">
        <v>205</v>
      </c>
      <c r="B13" s="24" t="n">
        <f aca="false">-B5*'Unit Economics'!$B$65</f>
        <v>-400000</v>
      </c>
      <c r="C13" s="24" t="n">
        <f aca="false">-C5*'Unit Economics'!$B$65</f>
        <v>-400000</v>
      </c>
      <c r="D13" s="24" t="n">
        <f aca="false">-D5*'Unit Economics'!$B$65</f>
        <v>-800000</v>
      </c>
      <c r="E13" s="24" t="n">
        <f aca="false">-E5*'Unit Economics'!$B$65</f>
        <v>-1600000</v>
      </c>
      <c r="F13" s="24" t="n">
        <f aca="false">-F5*'Unit Economics'!$B$65</f>
        <v>-2400000</v>
      </c>
    </row>
    <row r="14" customFormat="false" ht="15" hidden="false" customHeight="false" outlineLevel="0" collapsed="false">
      <c r="A14" s="2" t="s">
        <v>206</v>
      </c>
      <c r="B14" s="24" t="n">
        <f aca="false">B12+B13</f>
        <v>-837924.329898532</v>
      </c>
      <c r="C14" s="24" t="n">
        <f aca="false">C12+C13</f>
        <v>-1183945.40989853</v>
      </c>
      <c r="D14" s="24" t="n">
        <f aca="false">D12+D13</f>
        <v>-2367890.81979706</v>
      </c>
      <c r="E14" s="24" t="n">
        <f aca="false">E12+E13</f>
        <v>-4535781.63959413</v>
      </c>
      <c r="F14" s="24" t="n">
        <f aca="false">F12+F13</f>
        <v>-7095714.61939119</v>
      </c>
    </row>
    <row r="15" customFormat="false" ht="15" hidden="false" customHeight="false" outlineLevel="0" collapsed="false">
      <c r="A15" s="3" t="s">
        <v>183</v>
      </c>
      <c r="B15" s="26" t="n">
        <f aca="false">B14</f>
        <v>-837924.329898532</v>
      </c>
      <c r="C15" s="26" t="n">
        <f aca="false">B15+C14</f>
        <v>-2021869.73979706</v>
      </c>
      <c r="D15" s="26" t="n">
        <f aca="false">C15+D14</f>
        <v>-4389760.55959413</v>
      </c>
      <c r="E15" s="26" t="n">
        <f aca="false">D15+E14</f>
        <v>-8925542.19918826</v>
      </c>
      <c r="F15" s="26" t="n">
        <f aca="false">E15+F14</f>
        <v>-16021256.8185795</v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207</v>
      </c>
      <c r="B17" s="41" t="n">
        <f aca="false">-MIN(0,MIN(B15:F15))</f>
        <v>16021256.8185795</v>
      </c>
      <c r="C17" s="7"/>
      <c r="D17" s="7"/>
      <c r="E17" s="7"/>
      <c r="F17" s="7"/>
    </row>
    <row r="18" customFormat="false" ht="15" hidden="false" customHeight="false" outlineLevel="0" collapsed="false">
      <c r="A18" s="12" t="s">
        <v>208</v>
      </c>
      <c r="B18" s="7"/>
      <c r="C18" s="7"/>
      <c r="D18" s="7"/>
      <c r="E18" s="7"/>
      <c r="F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210</v>
      </c>
    </row>
    <row r="4" customFormat="false" ht="15" hidden="false" customHeight="false" outlineLevel="0" collapsed="false">
      <c r="A4" s="2" t="s">
        <v>211</v>
      </c>
    </row>
    <row r="5" customFormat="false" ht="15" hidden="false" customHeight="false" outlineLevel="0" collapsed="false">
      <c r="A5" s="2" t="s">
        <v>212</v>
      </c>
    </row>
    <row r="6" customFormat="false" ht="15" hidden="false" customHeight="false" outlineLevel="0" collapsed="false">
      <c r="A6" s="2" t="s">
        <v>213</v>
      </c>
    </row>
    <row r="7" customFormat="false" ht="15" hidden="false" customHeight="false" outlineLevel="0" collapsed="false">
      <c r="A7" s="2" t="s">
        <v>214</v>
      </c>
    </row>
    <row r="8" customFormat="false" ht="15" hidden="false" customHeight="false" outlineLevel="0" collapsed="false">
      <c r="A8" s="2" t="s">
        <v>215</v>
      </c>
    </row>
    <row r="9" customFormat="false" ht="15" hidden="false" customHeight="false" outlineLevel="0" collapsed="false">
      <c r="A9" s="2" t="s">
        <v>216</v>
      </c>
    </row>
    <row r="10" customFormat="false" ht="15" hidden="false" customHeight="false" outlineLevel="0" collapsed="false">
      <c r="A10" s="2" t="s">
        <v>217</v>
      </c>
    </row>
    <row r="11" customFormat="false" ht="15" hidden="false" customHeight="false" outlineLevel="0" collapsed="false">
      <c r="A11" s="2" t="s">
        <v>218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2026-10-10T16:51:14Z</dcterms:created>
  <dc:creator>openpyxl</dc:creator>
  <dc:description/>
  <dc:language>en-US</dc:language>
  <cp:lastModifiedBy/>
  <dcterms:modified xsi:type="dcterms:W3CDTF">2026-10-10T16:51:14Z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