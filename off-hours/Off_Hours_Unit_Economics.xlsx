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Unit Economics" sheetId="3" state="visible" r:id="rId5"/>
    <sheet name="36-Month Ramp" sheetId="4" state="visible" r:id="rId6"/>
    <sheet name="Sensitivity" sheetId="5" state="visible" r:id="rId7"/>
    <sheet name="Rollout" sheetId="6" state="visible" r:id="rId8"/>
    <sheet name="Funding Plan" sheetId="7" state="visible" r:id="rId9"/>
    <sheet name="Sources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<sst xmlns="http://schemas.openxmlformats.org/spreadsheetml/2006/main" count="339" uniqueCount="291">
  <si>
    <t xml:space="preserve">Off Hours: Unit Economics Model</t>
  </si>
  <si>
    <t xml:space="preserve">A first-pass model for one Boston location plus a multi-location rollout. Every number is editable.</t>
  </si>
  <si>
    <t xml:space="preserve">How to use</t>
  </si>
  <si>
    <t xml:space="preserve">1. Change only the blue numbers on the Inputs tab. Yellow cells are the assumptions that move the result most.</t>
  </si>
  <si>
    <t xml:space="preserve">B2B: set the share of members paid by employers (teams, clinics, hospitals) on Inputs. Employer seats are cheaper but used less, which lowers massage and coffee costs.</t>
  </si>
  <si>
    <t xml:space="preserve">2. Unit Economics shows one location at steady state: monthly P&amp;L, break-even members, and capacity checks.</t>
  </si>
  <si>
    <t xml:space="preserve">3. 36-Month Ramp shows the first location month by month, from opening day to payback.</t>
  </si>
  <si>
    <t xml:space="preserve">4. Sensitivity shows monthly profit across price, member count, and included massage minutes.</t>
  </si>
  <si>
    <t xml:space="preserve">6. Funding Plan shows how much cash Location 1 needs and one way to stack your $50K, prepayments, an SBA loan and investors.</t>
  </si>
  <si>
    <t xml:space="preserve">5. Rollout shows the company view (many locations + HQ costs) and how much capital you would need to raise.</t>
  </si>
  <si>
    <t xml:space="preserve">Color legend</t>
  </si>
  <si>
    <t xml:space="preserve">Blue text = input you can change</t>
  </si>
  <si>
    <t xml:space="preserve">Black text = formula (do not type over)</t>
  </si>
  <si>
    <t xml:space="preserve">Green text = pulled from another tab</t>
  </si>
  <si>
    <t xml:space="preserve">Yellow fill = key assumption</t>
  </si>
  <si>
    <t xml:space="preserve">Important caveats</t>
  </si>
  <si>
    <t xml:space="preserve">These are planning assumptions, not quotes. Replace them with real numbers as you get them (broker rent quotes, therapist pay offers, contractor bids).</t>
  </si>
  <si>
    <t xml:space="preserve">Massachusetts treats most workers as employees (ABC test). The model assumes massage therapists are W-2 part-time employees. Confirm with a MA employment lawyer.</t>
  </si>
  <si>
    <t xml:space="preserve">A massage establishment license from the MA Board of Registration of Massage Therapy is assumed. See Sources &amp; Notes.</t>
  </si>
  <si>
    <t xml:space="preserve">Inputs (edit blue cells)</t>
  </si>
  <si>
    <t xml:space="preserve">Input</t>
  </si>
  <si>
    <t xml:space="preserve">Value</t>
  </si>
  <si>
    <t xml:space="preserve">Source / note</t>
  </si>
  <si>
    <t xml:space="preserve">Pricing and members</t>
  </si>
  <si>
    <t xml:space="preserve">Monthly membership price</t>
  </si>
  <si>
    <t xml:space="preserve">From you: $150/month</t>
  </si>
  <si>
    <t xml:space="preserve">Extra 15-minute chair massage: list price</t>
  </si>
  <si>
    <t xml:space="preserve">Assumption: list price for non-included massages</t>
  </si>
  <si>
    <t xml:space="preserve">Member discount on extra massages</t>
  </si>
  <si>
    <t xml:space="preserve">From you: members get 10% off additional massages</t>
  </si>
  <si>
    <t xml:space="preserve">Extra massages bought per active member per month</t>
  </si>
  <si>
    <t xml:space="preserve">Assumption: about one extra massage every two months</t>
  </si>
  <si>
    <t xml:space="preserve">Other add-on revenue per active member (guest passes, retail tea)</t>
  </si>
  <si>
    <t xml:space="preserve">Assumption</t>
  </si>
  <si>
    <t xml:space="preserve">Add-on revenue per active member (calculated)</t>
  </si>
  <si>
    <t xml:space="preserve">Formula: other add-ons + extra massages at the member price</t>
  </si>
  <si>
    <t xml:space="preserve">Card processing fees (% of revenue)</t>
  </si>
  <si>
    <t xml:space="preserve">Assumption: typical Stripe/Square rate</t>
  </si>
  <si>
    <t xml:space="preserve">Steady-state members per location</t>
  </si>
  <si>
    <t xml:space="preserve">Assumption: e.g. 330 consumers + 220 employer seats (~22 companies x 10). The single most important number in the model</t>
  </si>
  <si>
    <t xml:space="preserve">Members on opening day</t>
  </si>
  <si>
    <t xml:space="preserve">Assumption: 100 of your 250+ waitlist sign-ups join, plus 50 employer seats (e.g. 5 of your 10 companies x 10 seats)</t>
  </si>
  <si>
    <t xml:space="preserve">New members joining per month (during ramp)</t>
  </si>
  <si>
    <t xml:space="preserve">Monthly member churn</t>
  </si>
  <si>
    <t xml:space="preserve">Assumption: boutique fitness memberships commonly lose 3 to 5% a month</t>
  </si>
  <si>
    <t xml:space="preserve">B2B: teams and healthcare (employer-paid seats)</t>
  </si>
  <si>
    <t xml:space="preserve">Share of members paid for by an employer</t>
  </si>
  <si>
    <t xml:space="preserve">Assumption. 0% = consumer only. Employers sign annual contracts for seats</t>
  </si>
  <si>
    <t xml:space="preserve">Employer seat price per month</t>
  </si>
  <si>
    <t xml:space="preserve">Assumption: modest discount for annual contracts. Below ~$135 a seat earns less than a consumer member</t>
  </si>
  <si>
    <t xml:space="preserve">Employer seat usage vs a self-paying member</t>
  </si>
  <si>
    <t xml:space="preserve">Assumption. Employer-paid perks are used less: a UK study found ~24% of corporate gym memberships never used (4global DataHub, 2018)</t>
  </si>
  <si>
    <t xml:space="preserve">Employer seat churn per month</t>
  </si>
  <si>
    <t xml:space="preserve">Assumption: annual contracts churn far less than individual members</t>
  </si>
  <si>
    <t xml:space="preserve">B2B sales cost (% of employer revenue)</t>
  </si>
  <si>
    <t xml:space="preserve">Assumption: commission for a salesperson, broker, or benefits platform fee</t>
  </si>
  <si>
    <t xml:space="preserve">Member usage</t>
  </si>
  <si>
    <t xml:space="preserve">Lounge visits per member per month</t>
  </si>
  <si>
    <t xml:space="preserve">Assumption. Daily is the brand promise, but most members will come 1 to 2x a week</t>
  </si>
  <si>
    <t xml:space="preserve">Average stay (hours)</t>
  </si>
  <si>
    <t xml:space="preserve">Peak-hour factor (busiest hour vs average hour)</t>
  </si>
  <si>
    <t xml:space="preserve">Assumption: lunch and after-work rush</t>
  </si>
  <si>
    <t xml:space="preserve">Open hours per day</t>
  </si>
  <si>
    <t xml:space="preserve">Assumption: 7am to 9pm</t>
  </si>
  <si>
    <t xml:space="preserve">Open days per month</t>
  </si>
  <si>
    <t xml:space="preserve">Assumption: 7 days a week</t>
  </si>
  <si>
    <t xml:space="preserve">Massage minutes included per member per month</t>
  </si>
  <si>
    <t xml:space="preserve">From you: two 15-minute chair massages a month</t>
  </si>
  <si>
    <t xml:space="preserve">Share of included massage minutes actually used</t>
  </si>
  <si>
    <t xml:space="preserve">Assumption: not everyone uses all four</t>
  </si>
  <si>
    <t xml:space="preserve">Drinks per visit</t>
  </si>
  <si>
    <t xml:space="preserve">Cost per drink (beans, milk, tea, cup)</t>
  </si>
  <si>
    <t xml:space="preserve">Consumables per visit (linens, oils, snacks)</t>
  </si>
  <si>
    <t xml:space="preserve">Massage staffing</t>
  </si>
  <si>
    <t xml:space="preserve">Therapist hourly pay</t>
  </si>
  <si>
    <t xml:space="preserve">Boston-area median is $36.13/hr (BLS, May 2025, via WageDex). Set slightly above to recruit good people</t>
  </si>
  <si>
    <t xml:space="preserve">Payroll taxes and benefits (% of pay)</t>
  </si>
  <si>
    <t xml:space="preserve">Assumption for part-time W-2 staff in MA (FICA, unemployment, PFML, workers comp)</t>
  </si>
  <si>
    <t xml:space="preserve">Therapist utilization (booked hours / paid hours)</t>
  </si>
  <si>
    <t xml:space="preserve">Assumption: gaps between bookings and no-shows are paid time</t>
  </si>
  <si>
    <t xml:space="preserve">Paid hours per therapist per month</t>
  </si>
  <si>
    <t xml:space="preserve">Assumption: part-time, about 20 hours a week</t>
  </si>
  <si>
    <t xml:space="preserve">Massage chair stations</t>
  </si>
  <si>
    <t xml:space="preserve">Assumption: semi-private chair massage spaces</t>
  </si>
  <si>
    <t xml:space="preserve">Labor cost of extra massages per active member (calculated)</t>
  </si>
  <si>
    <t xml:space="preserve">Formula: extra massages x 15 minutes, paid at therapist cost</t>
  </si>
  <si>
    <t xml:space="preserve">Target chair station occupancy</t>
  </si>
  <si>
    <t xml:space="preserve">Space</t>
  </si>
  <si>
    <t xml:space="preserve">Square feet</t>
  </si>
  <si>
    <t xml:space="preserve">Assumption: upper-floor space near Downtown Crossing / Park Street</t>
  </si>
  <si>
    <t xml:space="preserve">Rent per sq ft per year (all-in)</t>
  </si>
  <si>
    <t xml:space="preserve">Assumption for upper-floor or landlord-partner space. Ground-floor retail: Back Bay $125 to $225, Seaport $85 to $150 (Banker &amp; Tradesman)</t>
  </si>
  <si>
    <t xml:space="preserve">Rent structure (1 = fixed lease, 2 = revenue share)</t>
  </si>
  <si>
    <t xml:space="preserve">Switch to 2 to model a Fabrik/Industrious-style landlord partnership</t>
  </si>
  <si>
    <t xml:space="preserve">Landlord revenue share (% of revenue, if structure = 2)</t>
  </si>
  <si>
    <t xml:space="preserve">Assumption: target to negotiate. Downtown office vacancy was 25.3% in Q2 2026 (Downtown Boston Alliance)</t>
  </si>
  <si>
    <t xml:space="preserve">Minimum monthly rent under revenue share (floor)</t>
  </si>
  <si>
    <t xml:space="preserve">Assumption: landlords usually ask for the greater of a base rent or the % of revenue (~$30/sq ft/yr here)</t>
  </si>
  <si>
    <t xml:space="preserve">Pilot months at reduced rent</t>
  </si>
  <si>
    <t xml:space="preserve">From you: lower rent while you prove the concept</t>
  </si>
  <si>
    <t xml:space="preserve">Pilot rent per month</t>
  </si>
  <si>
    <t xml:space="preserve">Assumption: to negotiate. Pilot is in the same space so you only build out once</t>
  </si>
  <si>
    <t xml:space="preserve">Lounge seats</t>
  </si>
  <si>
    <t xml:space="preserve">Front of house and programming</t>
  </si>
  <si>
    <t xml:space="preserve">Part-time general manager (per year)</t>
  </si>
  <si>
    <t xml:space="preserve">From you: part-time GM. Assumption: ~25 hrs/week at ~$35/hr</t>
  </si>
  <si>
    <t xml:space="preserve">Your salary (per year, before taxes)</t>
  </si>
  <si>
    <t xml:space="preserve">From you: about $8K/month after taxes. Treated as a company cost, not a location cost</t>
  </si>
  <si>
    <t xml:space="preserve">Months of your salary paid before opening</t>
  </si>
  <si>
    <t xml:space="preserve">Assumption: lease signing to opening day</t>
  </si>
  <si>
    <t xml:space="preserve">Host / front desk hourly pay</t>
  </si>
  <si>
    <t xml:space="preserve">Hosts on shift (average across open hours)</t>
  </si>
  <si>
    <t xml:space="preserve">Ritual sessions per month (sound baths, stretching)</t>
  </si>
  <si>
    <t xml:space="preserve">Assumption: about one a day</t>
  </si>
  <si>
    <t xml:space="preserve">Cost per ritual session (contracted facilitator)</t>
  </si>
  <si>
    <t xml:space="preserve">Other monthly operating costs</t>
  </si>
  <si>
    <t xml:space="preserve">Utilities and internet</t>
  </si>
  <si>
    <t xml:space="preserve">Cleaning and laundry</t>
  </si>
  <si>
    <t xml:space="preserve">Insurance (liability, professional, property)</t>
  </si>
  <si>
    <t xml:space="preserve">Software (booking, payments, door access)</t>
  </si>
  <si>
    <t xml:space="preserve">Local marketing</t>
  </si>
  <si>
    <t xml:space="preserve">Repairs and maintenance</t>
  </si>
  <si>
    <t xml:space="preserve">Licenses, supplies, misc</t>
  </si>
  <si>
    <t xml:space="preserve">Opening costs (one-time)</t>
  </si>
  <si>
    <t xml:space="preserve">Buildout cost per sq ft</t>
  </si>
  <si>
    <t xml:space="preserve">Assumption for a light buildout of existing space (rooms, soundproofing, plumbing for the bar)</t>
  </si>
  <si>
    <t xml:space="preserve">Landlord tenant improvement allowance per sq ft</t>
  </si>
  <si>
    <t xml:space="preserve">Assumption: landlord funds most of the buildout as part of a revenue-share deal</t>
  </si>
  <si>
    <t xml:space="preserve">Furniture, fixtures, equipment</t>
  </si>
  <si>
    <t xml:space="preserve">Assumption: lounge furniture, massage tables, espresso machine, sound</t>
  </si>
  <si>
    <t xml:space="preserve">Pre-opening (hiring, training, launch, deposits)</t>
  </si>
  <si>
    <t xml:space="preserve">Rollout (company view)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</si>
  <si>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</si>
  <si>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</si>
  <si>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</si>
  <si>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</si>
  <si>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</si>
  <si>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</si>
  <si>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New locations opened</t>
  </si>
  <si>
    <t xml:space="preserve">HQ overhead (team, tech, recruiting, legal)</t>
  </si>
  <si>
    <t xml:space="preserve">Assumptions. Year 1 HQ includes your salary. HQ grows as you hire ops, a regional manager per ~5 locations, and finance</t>
  </si>
  <si>
    <t xml:space="preserve">One location at steady state (monthly)</t>
  </si>
  <si>
    <t xml:space="preserve">Members are set by 'Steady-state members per location' on Inputs.</t>
  </si>
  <si>
    <t xml:space="preserve">Members</t>
  </si>
  <si>
    <t xml:space="preserve">Monthly</t>
  </si>
  <si>
    <t xml:space="preserve">Per member</t>
  </si>
  <si>
    <t xml:space="preserve">Total members</t>
  </si>
  <si>
    <t xml:space="preserve">Self-paying members</t>
  </si>
  <si>
    <t xml:space="preserve">Employer-paid seats</t>
  </si>
  <si>
    <t xml:space="preserve">Active-member equivalents (employer seats count at their usage rate)</t>
  </si>
  <si>
    <t xml:space="preserve">Revenue</t>
  </si>
  <si>
    <t xml:space="preserve">Self-paying memberships</t>
  </si>
  <si>
    <t xml:space="preserve">Employer seat contracts</t>
  </si>
  <si>
    <t xml:space="preserve">Add-on revenue</t>
  </si>
  <si>
    <t xml:space="preserve">Total revenue</t>
  </si>
  <si>
    <t xml:space="preserve">Variable costs (scale with members)</t>
  </si>
  <si>
    <t xml:space="preserve">Card fees (self-paying members and add-ons; employers pay by bank transfer)</t>
  </si>
  <si>
    <t xml:space="preserve">B2B sales cost</t>
  </si>
  <si>
    <t xml:space="preserve">Massage therapist labor (included + extra massages)</t>
  </si>
  <si>
    <t xml:space="preserve">Coffee and tea</t>
  </si>
  <si>
    <t xml:space="preserve">Consumables</t>
  </si>
  <si>
    <t xml:space="preserve">Total variable costs</t>
  </si>
  <si>
    <t xml:space="preserve">Contribution after variable costs</t>
  </si>
  <si>
    <t xml:space="preserve">Fixed costs (same whether you have 200 or 500 members)</t>
  </si>
  <si>
    <t xml:space="preserve">Rent (after the pilot period)</t>
  </si>
  <si>
    <t xml:space="preserve">Part-time general manager (incl. taxes)</t>
  </si>
  <si>
    <t xml:space="preserve">Hosts / front desk</t>
  </si>
  <si>
    <t xml:space="preserve">Ritual facilitators</t>
  </si>
  <si>
    <t xml:space="preserve">Other operating costs</t>
  </si>
  <si>
    <t xml:space="preserve">Total fixed costs</t>
  </si>
  <si>
    <t xml:space="preserve">Profit</t>
  </si>
  <si>
    <t xml:space="preserve">Location profit before HQ costs ("4-wall EBITDA")</t>
  </si>
  <si>
    <t xml:space="preserve">4-wall margin</t>
  </si>
  <si>
    <t xml:space="preserve">Annual 4-wall EBITDA</t>
  </si>
  <si>
    <t xml:space="preserve">Your salary (incl. payroll taxes)</t>
  </si>
  <si>
    <t xml:space="preserve">Profit after paying you (one-location company)</t>
  </si>
  <si>
    <t xml:space="preserve">Annual profit after paying you</t>
  </si>
  <si>
    <t xml:space="preserve">Break-even</t>
  </si>
  <si>
    <t xml:space="preserve">Massage labor per active member (incl. extra massages)</t>
  </si>
  <si>
    <t xml:space="preserve">Other variable cost per active member</t>
  </si>
  <si>
    <t xml:space="preserve">Contribution per self-paying member</t>
  </si>
  <si>
    <t xml:space="preserve">Contribution per employer seat</t>
  </si>
  <si>
    <t xml:space="preserve">Blended contribution per member</t>
  </si>
  <si>
    <t xml:space="preserve">Blended revenue per member</t>
  </si>
  <si>
    <t xml:space="preserve">Blended variable cost per member</t>
  </si>
  <si>
    <t xml:space="preserve">Blended monthly churn</t>
  </si>
  <si>
    <t xml:space="preserve">Fixed costs (rent counted as fixed lease)</t>
  </si>
  <si>
    <t xml:space="preserve">Break-even members (fixed lease)</t>
  </si>
  <si>
    <t xml:space="preserve">Break-even members incl. your salary (revenue-share rent)</t>
  </si>
  <si>
    <t xml:space="preserve">Break-even members (revenue-share rent)</t>
  </si>
  <si>
    <t xml:space="preserve">Capacity checks (can the space handle these members?)</t>
  </si>
  <si>
    <t xml:space="preserve">Lounge: people at the busiest hour</t>
  </si>
  <si>
    <t xml:space="preserve">Lounge OK?</t>
  </si>
  <si>
    <t xml:space="preserve">Massage hours booked per month (incl. extra)</t>
  </si>
  <si>
    <t xml:space="preserve">Chair station hours available per month</t>
  </si>
  <si>
    <t xml:space="preserve">Chair stations OK?</t>
  </si>
  <si>
    <t xml:space="preserve">Max active-member equivalents the chair stations can serve</t>
  </si>
  <si>
    <t xml:space="preserve">Part-time therapists needed</t>
  </si>
  <si>
    <t xml:space="preserve">Opening investment and payback</t>
  </si>
  <si>
    <t xml:space="preserve">Buildout (net of landlord allowance)</t>
  </si>
  <si>
    <t xml:space="preserve">Pre-opening</t>
  </si>
  <si>
    <t xml:space="preserve">Total cash to open one location</t>
  </si>
  <si>
    <t xml:space="preserve">Simple payback at steady state (years)</t>
  </si>
  <si>
    <t xml:space="preserve">First location, month by month</t>
  </si>
  <si>
    <t xml:space="preserve">Month 0 = opening costs and your pre-opening salary. Rent uses the pilot rate for the pilot months. Members start at the opening-day number, add new members monthly (self-paying + employer seats, same mix as Inputs), lose blended churn, and cap at steady state.</t>
  </si>
  <si>
    <t xml:space="preserve">Month</t>
  </si>
  <si>
    <t xml:space="preserve">Variable costs</t>
  </si>
  <si>
    <t xml:space="preserve">Rent</t>
  </si>
  <si>
    <t xml:space="preserve">Other fixed costs</t>
  </si>
  <si>
    <t xml:space="preserve">Location profit (4-wall)</t>
  </si>
  <si>
    <t xml:space="preserve">Opening costs</t>
  </si>
  <si>
    <t xml:space="preserve">Net cash flow (after your salary)</t>
  </si>
  <si>
    <t xml:space="preserve">Cumulative cash</t>
  </si>
  <si>
    <t xml:space="preserve">Payback month flag</t>
  </si>
  <si>
    <t xml:space="preserve">Your salary (incl. taxes)</t>
  </si>
  <si>
    <t xml:space="preserve">Payback month (cash back from opening costs and your salary)</t>
  </si>
  <si>
    <t xml:space="preserve">Lowest cash point (most cash at risk)</t>
  </si>
  <si>
    <t xml:space="preserve">Month-36 cumulative cash</t>
  </si>
  <si>
    <t xml:space="preserve">Monthly 4-wall profit for one location</t>
  </si>
  <si>
    <t xml:space="preserve">Uses the fixed-lease rent and all other inputs from the Inputs tab. Green = profitable.</t>
  </si>
  <si>
    <t xml:space="preserve">Table 1: Members (down) x Self-paying price (across). B2B mix, seat price and massage minutes as on Inputs.</t>
  </si>
  <si>
    <t xml:space="preserve">Members \ Price</t>
  </si>
  <si>
    <t xml:space="preserve">Table 2: Included massage minutes per month (down) x Self-paying price (across). Members and B2B mix as on Inputs.</t>
  </si>
  <si>
    <t xml:space="preserve">Massage min \ Price</t>
  </si>
  <si>
    <t xml:space="preserve">Table 3: Share of members paid by employers (down) x Employer seat price (across). Members, consumer price and massage minutes as on Inputs.</t>
  </si>
  <si>
    <t xml:space="preserve">B2B share \ Seat price</t>
  </si>
  <si>
    <t xml:space="preserve">Company view: multi-location rollout (annual)</t>
  </si>
  <si>
    <t xml:space="preserve">Each location follows the 36-Month Ramp: year 1 of a location = ramp months 1-12, year 2 = months 13-24, year 3+ = months 25-36. Opening costs land in the year a location opens.</t>
  </si>
  <si>
    <t xml:space="preserve">New locations opened (in their first year)</t>
  </si>
  <si>
    <t xml:space="preserve">Locations in their second year</t>
  </si>
  <si>
    <t xml:space="preserve">Locations in year 3 or later</t>
  </si>
  <si>
    <t xml:space="preserve">Total locations open</t>
  </si>
  <si>
    <t xml:space="preserve">Location profit (4-wall EBITDA)</t>
  </si>
  <si>
    <t xml:space="preserve">HQ overhead</t>
  </si>
  <si>
    <t xml:space="preserve">Company EBITDA</t>
  </si>
  <si>
    <t xml:space="preserve">Opening investment</t>
  </si>
  <si>
    <t xml:space="preserve">Free cash flow</t>
  </si>
  <si>
    <t xml:space="preserve">Peak capital need (lowest cumulative cash, years 1-5)</t>
  </si>
  <si>
    <t xml:space="preserve">Add a 20-30% buffer on top of this when deciding how much to raise.</t>
  </si>
  <si>
    <t xml:space="preserve">Funding plan for Location 1 (sources and uses)</t>
  </si>
  <si>
    <t xml:space="preserve">Uses pull from the model. Change the blue cells under Sources. Investors/angels is the plug: whatever is left to raise.</t>
  </si>
  <si>
    <t xml:space="preserve">Uses: what the money pays for</t>
  </si>
  <si>
    <t xml:space="preserve">Your salary and operating losses until the location covers itself</t>
  </si>
  <si>
    <t xml:space="preserve">Lowest cumulative cash on the 36-Month Ramp, minus opening costs. Includes your salary before and after opening</t>
  </si>
  <si>
    <t xml:space="preserve">Contingency (% of the above)</t>
  </si>
  <si>
    <t xml:space="preserve">Assumption: buildouts almost always run over</t>
  </si>
  <si>
    <t xml:space="preserve">Contingency</t>
  </si>
  <si>
    <t xml:space="preserve">Total cash needed</t>
  </si>
  <si>
    <t xml:space="preserve">Sources: where the money comes from</t>
  </si>
  <si>
    <t xml:space="preserve">Your own cash</t>
  </si>
  <si>
    <t xml:space="preserve">From you</t>
  </si>
  <si>
    <t xml:space="preserve">Founding members who prepay</t>
  </si>
  <si>
    <t xml:space="preserve">From you: no founding prepayments</t>
  </si>
  <si>
    <t xml:space="preserve">Months each founding member prepays</t>
  </si>
  <si>
    <t xml:space="preserve">Assumption: e.g. 3 months up front to lock founding status</t>
  </si>
  <si>
    <t xml:space="preserve">Founding member prepayments</t>
  </si>
  <si>
    <t xml:space="preserve">Cash before opening. It is revenue pulled forward, so it lowers what you raise but you collect less later</t>
  </si>
  <si>
    <t xml:space="preserve">Companies that prepay</t>
  </si>
  <si>
    <t xml:space="preserve">Your target: 10 companies</t>
  </si>
  <si>
    <t xml:space="preserve">Seats per company</t>
  </si>
  <si>
    <t xml:space="preserve">Months each company prepays</t>
  </si>
  <si>
    <t xml:space="preserve">Set to 0: interest is not a contract. Upside if companies pay quarterly in advance</t>
  </si>
  <si>
    <t xml:space="preserve">Employer prepayments</t>
  </si>
  <si>
    <t xml:space="preserve">SBA 7(a) loan</t>
  </si>
  <si>
    <t xml:space="preserve">Set to 0: SBA requires an unlimited personal guarantee from every 20%+ owner (13 CFR 120.160), which you ruled out</t>
  </si>
  <si>
    <t xml:space="preserve">Investors / angels / friends and family (left to raise)</t>
  </si>
  <si>
    <t xml:space="preserve">Typically raised on a SAFE</t>
  </si>
  <si>
    <t xml:space="preserve">Total sources</t>
  </si>
  <si>
    <t xml:space="preserve">Checks</t>
  </si>
  <si>
    <t xml:space="preserve">Equity (you + investors) as % of total cash needed</t>
  </si>
  <si>
    <t xml:space="preserve">SBA lenders want at least 10%</t>
  </si>
  <si>
    <t xml:space="preserve">Meets the 10% SBA minimum?</t>
  </si>
  <si>
    <t xml:space="preserve">SBA loan interest rate</t>
  </si>
  <si>
    <t xml:space="preserve">Assumption: prime plus a spread; get a lender quote</t>
  </si>
  <si>
    <t xml:space="preserve">Loan term (years)</t>
  </si>
  <si>
    <t xml:space="preserve">Annual loan payments</t>
  </si>
  <si>
    <t xml:space="preserve">Debt coverage (steady-state profit / loan payments)</t>
  </si>
  <si>
    <t xml:space="preserve">Lenders usually want 1.25x or more</t>
  </si>
  <si>
    <t xml:space="preserve">Sources and notes</t>
  </si>
  <si>
    <t xml:space="preserve">Membership price and benefits: from you. $150/month, two 15-minute chair massages included, 10% member discount on extra massages. Location: Downtown Crossing / Park Street, revenue-share deal.</t>
  </si>
  <si>
    <t xml:space="preserve">Massage therapist pay: Boston-Cambridge-Newton median $36.13/hr, BLS May 2025 via WageDex. https://wagedex.com/jobs/massage-therapists/metro/boston-cambridge-newton-ma-nh</t>
  </si>
  <si>
    <t xml:space="preserve">Payscale Boston LMT average $35/hr. https://www.payscale.com/research/US/Job=Licensed_Massage_Therapist_(LMT)/Hourly_Rate/9d4bcf95/Boston-MA</t>
  </si>
  <si>
    <t xml:space="preserve">Boston retail rents: Back Bay $125-225/sf, Seaport $85-150/sf (Banker &amp; Tradesman). https://bankerandtradesman.com/fidelity-invests-in-seaports-retail-reinvention</t>
  </si>
  <si>
    <t xml:space="preserve">MA worker classification (ABC test, prong B): https://www.mass.gov/news/ag-campbell-files-amicus-brief-urging-court-to-reverse-decision-in-massachusetts-worker-misclassification-case</t>
  </si>
  <si>
    <t xml:space="preserve">MA massage establishment licensing, 269 CMR 6.00: https://www.mass.gov/regulations/269-CMR-6-facility-licensure</t>
  </si>
  <si>
    <t xml:space="preserve">Landlord management agreements / revenue share (Industrious): https://www.wealthmanagement.com/wealth-management-industry-trends/office-landlords-consider-management-agreements-in-lieu-of-leases-for-co-working-operators</t>
  </si>
  <si>
    <t xml:space="preserve">Fabrik below-market flexible leases and Hines backing (CoStar): https://www.costar.com/article/1868835210/this-hines-backed-startup-offers-flexible-space-to-more-than-office-workers</t>
  </si>
  <si>
    <t xml:space="preserve">Corporate membership usage benchmark: ~24% of employer-provided gym memberships never used (4global DataHub, UK, 2018). https://ukactive.com/news/new-research-explores-value-of-employer-provided-gym-memberships/</t>
  </si>
  <si>
    <t xml:space="preserve">SBA 7(a) 10% equity injection for startups under SOP 50 10 8 (secondary summary; confirm with a lender): https://beancount.io/blog/2026/07/29/sba-sop-50-10-8-collateral-equity-injection-rules-guide</t>
  </si>
  <si>
    <t xml:space="preserve">MA chair-massage exemption from establishment licensure, 269 CMR 6.03(8): https://www.law.cornell.edu/regulations/massachusetts/269-CMR-6-03</t>
  </si>
  <si>
    <t xml:space="preserve">Everything not listed above is a planning assumption, labeled on the Inputs tab. Replace with real quotes as you get them.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</si>
</sst>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\$#,##0.00;&quot;($&quot;#,##0.00\);\-"/>
    <numFmt numFmtId="169" formatCode="#,##0;\(#,##0\);\-"/>
    <numFmt numFmtId="170" formatCode="0"/>
    <numFmt numFmtId="171" formatCode="@"/>
    <numFmt numFmtId="172" formatCode="0%"/>
    <numFmt numFmtId="173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A2235"/>
        <bgColor rgb="FF333300"/>
      </patternFill>
    </fill>
    <fill>
      <patternFill patternType="solid">
        <fgColor rgb="FFF3E6CC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2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0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19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7" t="s">
        <v>20</v>
      </c>
      <c r="B3" s="7" t="s">
        <v>21</v>
      </c>
      <c r="C3" s="7" t="s">
        <v>22</v>
      </c>
      <c r="D3" s="6"/>
      <c r="E3" s="6"/>
      <c r="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</row>
    <row r="5" customFormat="false" ht="15" hidden="false" customHeight="false" outlineLevel="0" collapsed="false">
      <c r="A5" s="8" t="s">
        <v>23</v>
      </c>
      <c r="B5" s="9"/>
      <c r="C5" s="9"/>
      <c r="D5" s="6"/>
      <c r="E5" s="6"/>
      <c r="F5" s="6"/>
    </row>
    <row r="6" customFormat="false" ht="15" hidden="false" customHeight="false" outlineLevel="0" collapsed="false">
      <c r="A6" s="2" t="s">
        <v>24</v>
      </c>
      <c r="B6" s="10" t="n">
        <v>150</v>
      </c>
      <c r="C6" s="11" t="s">
        <v>25</v>
      </c>
      <c r="D6" s="6"/>
      <c r="E6" s="6"/>
      <c r="F6" s="6"/>
    </row>
    <row r="7" customFormat="false" ht="15" hidden="false" customHeight="false" outlineLevel="0" collapsed="false">
      <c r="A7" s="2" t="s">
        <v>26</v>
      </c>
      <c r="B7" s="12" t="n">
        <v>40</v>
      </c>
      <c r="C7" s="11" t="s">
        <v>27</v>
      </c>
      <c r="D7" s="6"/>
      <c r="E7" s="6"/>
      <c r="F7" s="6"/>
    </row>
    <row r="8" customFormat="false" ht="15" hidden="false" customHeight="false" outlineLevel="0" collapsed="false">
      <c r="A8" s="2" t="s">
        <v>28</v>
      </c>
      <c r="B8" s="13" t="n">
        <v>0.1</v>
      </c>
      <c r="C8" s="11" t="s">
        <v>29</v>
      </c>
      <c r="D8" s="6"/>
      <c r="E8" s="6"/>
      <c r="F8" s="6"/>
    </row>
    <row r="9" customFormat="false" ht="15" hidden="false" customHeight="false" outlineLevel="0" collapsed="false">
      <c r="A9" s="2" t="s">
        <v>30</v>
      </c>
      <c r="B9" s="14" t="n">
        <v>0.5</v>
      </c>
      <c r="C9" s="11" t="s">
        <v>31</v>
      </c>
      <c r="D9" s="6"/>
      <c r="E9" s="6"/>
      <c r="F9" s="6"/>
    </row>
    <row r="10" customFormat="false" ht="15" hidden="false" customHeight="false" outlineLevel="0" collapsed="false">
      <c r="A10" s="2" t="s">
        <v>32</v>
      </c>
      <c r="B10" s="12" t="n">
        <v>5</v>
      </c>
      <c r="C10" s="11" t="s">
        <v>33</v>
      </c>
      <c r="D10" s="6"/>
      <c r="E10" s="6"/>
      <c r="F10" s="6"/>
    </row>
    <row r="11" customFormat="false" ht="15" hidden="false" customHeight="false" outlineLevel="0" collapsed="false">
      <c r="A11" s="2" t="s">
        <v>34</v>
      </c>
      <c r="B11" s="15" t="n">
        <f aca="false">Inputs!$B$10+Inputs!$B$9*Inputs!$B$7*(1-Inputs!$B$8)</f>
        <v>23</v>
      </c>
      <c r="C11" s="11" t="s">
        <v>35</v>
      </c>
      <c r="D11" s="6"/>
      <c r="E11" s="6"/>
      <c r="F11" s="6"/>
    </row>
    <row r="12" customFormat="false" ht="15" hidden="false" customHeight="false" outlineLevel="0" collapsed="false">
      <c r="A12" s="2" t="s">
        <v>36</v>
      </c>
      <c r="B12" s="13" t="n">
        <v>0.03</v>
      </c>
      <c r="C12" s="11" t="s">
        <v>37</v>
      </c>
      <c r="D12" s="6"/>
      <c r="E12" s="6"/>
      <c r="F12" s="6"/>
    </row>
    <row r="13" customFormat="false" ht="15" hidden="false" customHeight="false" outlineLevel="0" collapsed="false">
      <c r="A13" s="2" t="s">
        <v>38</v>
      </c>
      <c r="B13" s="16" t="n">
        <v>550</v>
      </c>
      <c r="C13" s="11" t="s">
        <v>39</v>
      </c>
      <c r="D13" s="6"/>
      <c r="E13" s="6"/>
      <c r="F13" s="6"/>
    </row>
    <row r="14" customFormat="false" ht="15" hidden="false" customHeight="false" outlineLevel="0" collapsed="false">
      <c r="A14" s="2" t="s">
        <v>40</v>
      </c>
      <c r="B14" s="16" t="n">
        <v>150</v>
      </c>
      <c r="C14" s="11" t="s">
        <v>41</v>
      </c>
      <c r="D14" s="6"/>
      <c r="E14" s="6"/>
      <c r="F14" s="6"/>
    </row>
    <row r="15" customFormat="false" ht="15" hidden="false" customHeight="false" outlineLevel="0" collapsed="false">
      <c r="A15" s="2" t="s">
        <v>42</v>
      </c>
      <c r="B15" s="16" t="n">
        <v>40</v>
      </c>
      <c r="C15" s="11" t="s">
        <v>33</v>
      </c>
      <c r="D15" s="6"/>
      <c r="E15" s="6"/>
      <c r="F15" s="6"/>
    </row>
    <row r="16" customFormat="false" ht="15" hidden="false" customHeight="false" outlineLevel="0" collapsed="false">
      <c r="A16" s="2" t="s">
        <v>43</v>
      </c>
      <c r="B16" s="17" t="n">
        <v>0.04</v>
      </c>
      <c r="C16" s="11" t="s">
        <v>44</v>
      </c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15" hidden="false" customHeight="false" outlineLevel="0" collapsed="false">
      <c r="A18" s="8" t="s">
        <v>45</v>
      </c>
      <c r="B18" s="9"/>
      <c r="C18" s="9"/>
      <c r="D18" s="6"/>
      <c r="E18" s="6"/>
      <c r="F18" s="6"/>
    </row>
    <row r="19" customFormat="false" ht="15" hidden="false" customHeight="false" outlineLevel="0" collapsed="false">
      <c r="A19" s="2" t="s">
        <v>46</v>
      </c>
      <c r="B19" s="17" t="n">
        <v>0.4</v>
      </c>
      <c r="C19" s="11" t="s">
        <v>47</v>
      </c>
      <c r="D19" s="6"/>
      <c r="E19" s="6"/>
      <c r="F19" s="6"/>
    </row>
    <row r="20" customFormat="false" ht="15" hidden="false" customHeight="false" outlineLevel="0" collapsed="false">
      <c r="A20" s="2" t="s">
        <v>48</v>
      </c>
      <c r="B20" s="10" t="n">
        <v>140</v>
      </c>
      <c r="C20" s="11" t="s">
        <v>49</v>
      </c>
      <c r="D20" s="6"/>
      <c r="E20" s="6"/>
      <c r="F20" s="6"/>
    </row>
    <row r="21" customFormat="false" ht="15" hidden="false" customHeight="false" outlineLevel="0" collapsed="false">
      <c r="A21" s="2" t="s">
        <v>50</v>
      </c>
      <c r="B21" s="17" t="n">
        <v>0.65</v>
      </c>
      <c r="C21" s="11" t="s">
        <v>51</v>
      </c>
      <c r="D21" s="6"/>
      <c r="E21" s="6"/>
      <c r="F21" s="6"/>
    </row>
    <row r="22" customFormat="false" ht="15" hidden="false" customHeight="false" outlineLevel="0" collapsed="false">
      <c r="A22" s="2" t="s">
        <v>52</v>
      </c>
      <c r="B22" s="13" t="n">
        <v>0.015</v>
      </c>
      <c r="C22" s="11" t="s">
        <v>53</v>
      </c>
      <c r="D22" s="6"/>
      <c r="E22" s="6"/>
      <c r="F22" s="6"/>
    </row>
    <row r="23" customFormat="false" ht="15" hidden="false" customHeight="false" outlineLevel="0" collapsed="false">
      <c r="A23" s="2" t="s">
        <v>54</v>
      </c>
      <c r="B23" s="13" t="n">
        <v>0.1</v>
      </c>
      <c r="C23" s="11" t="s">
        <v>55</v>
      </c>
      <c r="D23" s="6"/>
      <c r="E23" s="6"/>
      <c r="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8" t="s">
        <v>56</v>
      </c>
      <c r="B25" s="9"/>
      <c r="C25" s="9"/>
      <c r="D25" s="6"/>
      <c r="E25" s="6"/>
      <c r="F25" s="6"/>
    </row>
    <row r="26" customFormat="false" ht="15" hidden="false" customHeight="false" outlineLevel="0" collapsed="false">
      <c r="A26" s="2" t="s">
        <v>57</v>
      </c>
      <c r="B26" s="18" t="n">
        <v>6</v>
      </c>
      <c r="C26" s="11" t="s">
        <v>58</v>
      </c>
      <c r="D26" s="6"/>
      <c r="E26" s="6"/>
      <c r="F26" s="6"/>
    </row>
    <row r="27" customFormat="false" ht="15" hidden="false" customHeight="false" outlineLevel="0" collapsed="false">
      <c r="A27" s="2" t="s">
        <v>59</v>
      </c>
      <c r="B27" s="18" t="n">
        <v>1.5</v>
      </c>
      <c r="C27" s="11" t="s">
        <v>33</v>
      </c>
      <c r="D27" s="6"/>
      <c r="E27" s="6"/>
      <c r="F27" s="6"/>
    </row>
    <row r="28" customFormat="false" ht="15" hidden="false" customHeight="false" outlineLevel="0" collapsed="false">
      <c r="A28" s="2" t="s">
        <v>60</v>
      </c>
      <c r="B28" s="18" t="n">
        <v>2.5</v>
      </c>
      <c r="C28" s="11" t="s">
        <v>61</v>
      </c>
      <c r="D28" s="6"/>
      <c r="E28" s="6"/>
      <c r="F28" s="6"/>
    </row>
    <row r="29" customFormat="false" ht="15" hidden="false" customHeight="false" outlineLevel="0" collapsed="false">
      <c r="A29" s="2" t="s">
        <v>62</v>
      </c>
      <c r="B29" s="19" t="n">
        <v>14</v>
      </c>
      <c r="C29" s="11" t="s">
        <v>63</v>
      </c>
      <c r="D29" s="6"/>
      <c r="E29" s="6"/>
      <c r="F29" s="6"/>
    </row>
    <row r="30" customFormat="false" ht="15" hidden="false" customHeight="false" outlineLevel="0" collapsed="false">
      <c r="A30" s="2" t="s">
        <v>64</v>
      </c>
      <c r="B30" s="19" t="n">
        <v>30</v>
      </c>
      <c r="C30" s="11" t="s">
        <v>65</v>
      </c>
      <c r="D30" s="6"/>
      <c r="E30" s="6"/>
      <c r="F30" s="6"/>
    </row>
    <row r="31" customFormat="false" ht="15" hidden="false" customHeight="false" outlineLevel="0" collapsed="false">
      <c r="A31" s="2" t="s">
        <v>66</v>
      </c>
      <c r="B31" s="16" t="n">
        <v>30</v>
      </c>
      <c r="C31" s="11" t="s">
        <v>67</v>
      </c>
      <c r="D31" s="6"/>
      <c r="E31" s="6"/>
      <c r="F31" s="6"/>
    </row>
    <row r="32" customFormat="false" ht="15" hidden="false" customHeight="false" outlineLevel="0" collapsed="false">
      <c r="A32" s="2" t="s">
        <v>68</v>
      </c>
      <c r="B32" s="17" t="n">
        <v>0.75</v>
      </c>
      <c r="C32" s="11" t="s">
        <v>69</v>
      </c>
      <c r="D32" s="6"/>
      <c r="E32" s="6"/>
      <c r="F32" s="6"/>
    </row>
    <row r="33" customFormat="false" ht="15" hidden="false" customHeight="false" outlineLevel="0" collapsed="false">
      <c r="A33" s="2" t="s">
        <v>70</v>
      </c>
      <c r="B33" s="18" t="n">
        <v>1.2</v>
      </c>
      <c r="C33" s="11" t="s">
        <v>33</v>
      </c>
      <c r="D33" s="6"/>
      <c r="E33" s="6"/>
      <c r="F33" s="6"/>
    </row>
    <row r="34" customFormat="false" ht="15" hidden="false" customHeight="false" outlineLevel="0" collapsed="false">
      <c r="A34" s="2" t="s">
        <v>71</v>
      </c>
      <c r="B34" s="20" t="n">
        <v>1.1</v>
      </c>
      <c r="C34" s="11" t="s">
        <v>33</v>
      </c>
      <c r="D34" s="6"/>
      <c r="E34" s="6"/>
      <c r="F34" s="6"/>
    </row>
    <row r="35" customFormat="false" ht="15" hidden="false" customHeight="false" outlineLevel="0" collapsed="false">
      <c r="A35" s="2" t="s">
        <v>72</v>
      </c>
      <c r="B35" s="20" t="n">
        <v>0.75</v>
      </c>
      <c r="C35" s="11" t="s">
        <v>33</v>
      </c>
      <c r="D35" s="6"/>
      <c r="E35" s="6"/>
      <c r="F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</row>
    <row r="37" customFormat="false" ht="15" hidden="false" customHeight="false" outlineLevel="0" collapsed="false">
      <c r="A37" s="8" t="s">
        <v>73</v>
      </c>
      <c r="B37" s="9"/>
      <c r="C37" s="9"/>
      <c r="D37" s="6"/>
      <c r="E37" s="6"/>
      <c r="F37" s="6"/>
    </row>
    <row r="38" customFormat="false" ht="15" hidden="false" customHeight="false" outlineLevel="0" collapsed="false">
      <c r="A38" s="2" t="s">
        <v>74</v>
      </c>
      <c r="B38" s="21" t="n">
        <v>38</v>
      </c>
      <c r="C38" s="11" t="s">
        <v>75</v>
      </c>
      <c r="D38" s="6"/>
      <c r="E38" s="6"/>
      <c r="F38" s="6"/>
    </row>
    <row r="39" customFormat="false" ht="15" hidden="false" customHeight="false" outlineLevel="0" collapsed="false">
      <c r="A39" s="2" t="s">
        <v>76</v>
      </c>
      <c r="B39" s="13" t="n">
        <v>0.15</v>
      </c>
      <c r="C39" s="11" t="s">
        <v>77</v>
      </c>
      <c r="D39" s="6"/>
      <c r="E39" s="6"/>
      <c r="F39" s="6"/>
    </row>
    <row r="40" customFormat="false" ht="15" hidden="false" customHeight="false" outlineLevel="0" collapsed="false">
      <c r="A40" s="2" t="s">
        <v>78</v>
      </c>
      <c r="B40" s="17" t="n">
        <v>0.75</v>
      </c>
      <c r="C40" s="11" t="s">
        <v>79</v>
      </c>
      <c r="D40" s="6"/>
      <c r="E40" s="6"/>
      <c r="F40" s="6"/>
    </row>
    <row r="41" customFormat="false" ht="15" hidden="false" customHeight="false" outlineLevel="0" collapsed="false">
      <c r="A41" s="2" t="s">
        <v>80</v>
      </c>
      <c r="B41" s="19" t="n">
        <v>80</v>
      </c>
      <c r="C41" s="11" t="s">
        <v>81</v>
      </c>
      <c r="D41" s="6"/>
      <c r="E41" s="6"/>
      <c r="F41" s="6"/>
    </row>
    <row r="42" customFormat="false" ht="15" hidden="false" customHeight="false" outlineLevel="0" collapsed="false">
      <c r="A42" s="2" t="s">
        <v>82</v>
      </c>
      <c r="B42" s="19" t="n">
        <v>3</v>
      </c>
      <c r="C42" s="11" t="s">
        <v>83</v>
      </c>
      <c r="D42" s="6"/>
      <c r="E42" s="6"/>
      <c r="F42" s="6"/>
    </row>
    <row r="43" customFormat="false" ht="15" hidden="false" customHeight="false" outlineLevel="0" collapsed="false">
      <c r="A43" s="2" t="s">
        <v>84</v>
      </c>
      <c r="B43" s="15" t="n">
        <f aca="false">Inputs!$B$9*15/60/Inputs!$B$40*Inputs!$B$38*(1+Inputs!$B$39)</f>
        <v>7.28333333333333</v>
      </c>
      <c r="C43" s="11" t="s">
        <v>85</v>
      </c>
      <c r="D43" s="6"/>
      <c r="E43" s="6"/>
      <c r="F43" s="6"/>
    </row>
    <row r="44" customFormat="false" ht="15" hidden="false" customHeight="false" outlineLevel="0" collapsed="false">
      <c r="A44" s="2" t="s">
        <v>86</v>
      </c>
      <c r="B44" s="13" t="n">
        <v>0.65</v>
      </c>
      <c r="C44" s="11" t="s">
        <v>33</v>
      </c>
      <c r="D44" s="6"/>
      <c r="E44" s="6"/>
      <c r="F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</row>
    <row r="46" customFormat="false" ht="15" hidden="false" customHeight="false" outlineLevel="0" collapsed="false">
      <c r="A46" s="8" t="s">
        <v>87</v>
      </c>
      <c r="B46" s="9"/>
      <c r="C46" s="9"/>
      <c r="D46" s="6"/>
      <c r="E46" s="6"/>
      <c r="F46" s="6"/>
    </row>
    <row r="47" customFormat="false" ht="15" hidden="false" customHeight="false" outlineLevel="0" collapsed="false">
      <c r="A47" s="2" t="s">
        <v>88</v>
      </c>
      <c r="B47" s="16" t="n">
        <v>2400</v>
      </c>
      <c r="C47" s="11" t="s">
        <v>89</v>
      </c>
      <c r="D47" s="6"/>
      <c r="E47" s="6"/>
      <c r="F47" s="6"/>
    </row>
    <row r="48" customFormat="false" ht="15" hidden="false" customHeight="false" outlineLevel="0" collapsed="false">
      <c r="A48" s="2" t="s">
        <v>90</v>
      </c>
      <c r="B48" s="21" t="n">
        <v>55</v>
      </c>
      <c r="C48" s="11" t="s">
        <v>91</v>
      </c>
      <c r="D48" s="6"/>
      <c r="E48" s="6"/>
      <c r="F48" s="6"/>
    </row>
    <row r="49" customFormat="false" ht="15" hidden="false" customHeight="false" outlineLevel="0" collapsed="false">
      <c r="A49" s="2" t="s">
        <v>92</v>
      </c>
      <c r="B49" s="22" t="n">
        <v>2</v>
      </c>
      <c r="C49" s="11" t="s">
        <v>93</v>
      </c>
      <c r="D49" s="6"/>
      <c r="E49" s="6"/>
      <c r="F49" s="6"/>
    </row>
    <row r="50" customFormat="false" ht="15" hidden="false" customHeight="false" outlineLevel="0" collapsed="false">
      <c r="A50" s="2" t="s">
        <v>94</v>
      </c>
      <c r="B50" s="17" t="n">
        <v>0.15</v>
      </c>
      <c r="C50" s="11" t="s">
        <v>95</v>
      </c>
      <c r="D50" s="6"/>
      <c r="E50" s="6"/>
      <c r="F50" s="6"/>
    </row>
    <row r="51" customFormat="false" ht="15" hidden="false" customHeight="false" outlineLevel="0" collapsed="false">
      <c r="A51" s="2" t="s">
        <v>96</v>
      </c>
      <c r="B51" s="10" t="n">
        <v>6000</v>
      </c>
      <c r="C51" s="11" t="s">
        <v>97</v>
      </c>
      <c r="D51" s="6"/>
      <c r="E51" s="6"/>
      <c r="F51" s="6"/>
    </row>
    <row r="52" customFormat="false" ht="15" hidden="false" customHeight="false" outlineLevel="0" collapsed="false">
      <c r="A52" s="2" t="s">
        <v>98</v>
      </c>
      <c r="B52" s="16" t="n">
        <v>6</v>
      </c>
      <c r="C52" s="11" t="s">
        <v>99</v>
      </c>
      <c r="D52" s="6"/>
      <c r="E52" s="6"/>
      <c r="F52" s="6"/>
    </row>
    <row r="53" customFormat="false" ht="15" hidden="false" customHeight="false" outlineLevel="0" collapsed="false">
      <c r="A53" s="2" t="s">
        <v>100</v>
      </c>
      <c r="B53" s="10" t="n">
        <v>3000</v>
      </c>
      <c r="C53" s="11" t="s">
        <v>101</v>
      </c>
      <c r="D53" s="6"/>
      <c r="E53" s="6"/>
      <c r="F53" s="6"/>
    </row>
    <row r="54" customFormat="false" ht="15" hidden="false" customHeight="false" outlineLevel="0" collapsed="false">
      <c r="A54" s="2" t="s">
        <v>102</v>
      </c>
      <c r="B54" s="19" t="n">
        <v>45</v>
      </c>
      <c r="C54" s="11" t="s">
        <v>33</v>
      </c>
      <c r="D54" s="6"/>
      <c r="E54" s="6"/>
      <c r="F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</row>
    <row r="56" customFormat="false" ht="15" hidden="false" customHeight="false" outlineLevel="0" collapsed="false">
      <c r="A56" s="8" t="s">
        <v>103</v>
      </c>
      <c r="B56" s="9"/>
      <c r="C56" s="9"/>
      <c r="D56" s="6"/>
      <c r="E56" s="6"/>
      <c r="F56" s="6"/>
    </row>
    <row r="57" customFormat="false" ht="15" hidden="false" customHeight="false" outlineLevel="0" collapsed="false">
      <c r="A57" s="2" t="s">
        <v>104</v>
      </c>
      <c r="B57" s="10" t="n">
        <v>45000</v>
      </c>
      <c r="C57" s="11" t="s">
        <v>105</v>
      </c>
      <c r="D57" s="6"/>
      <c r="E57" s="6"/>
      <c r="F57" s="6"/>
    </row>
    <row r="58" customFormat="false" ht="15" hidden="false" customHeight="false" outlineLevel="0" collapsed="false">
      <c r="A58" s="2" t="s">
        <v>106</v>
      </c>
      <c r="B58" s="10" t="n">
        <v>120000</v>
      </c>
      <c r="C58" s="11" t="s">
        <v>107</v>
      </c>
      <c r="D58" s="6"/>
      <c r="E58" s="6"/>
      <c r="F58" s="6"/>
    </row>
    <row r="59" customFormat="false" ht="15" hidden="false" customHeight="false" outlineLevel="0" collapsed="false">
      <c r="A59" s="2" t="s">
        <v>108</v>
      </c>
      <c r="B59" s="16" t="n">
        <v>4</v>
      </c>
      <c r="C59" s="11" t="s">
        <v>109</v>
      </c>
      <c r="D59" s="6"/>
      <c r="E59" s="6"/>
      <c r="F59" s="6"/>
    </row>
    <row r="60" customFormat="false" ht="15" hidden="false" customHeight="false" outlineLevel="0" collapsed="false">
      <c r="A60" s="2" t="s">
        <v>110</v>
      </c>
      <c r="B60" s="20" t="n">
        <v>22</v>
      </c>
      <c r="C60" s="11" t="s">
        <v>33</v>
      </c>
      <c r="D60" s="6"/>
      <c r="E60" s="6"/>
      <c r="F60" s="6"/>
    </row>
    <row r="61" customFormat="false" ht="15" hidden="false" customHeight="false" outlineLevel="0" collapsed="false">
      <c r="A61" s="2" t="s">
        <v>111</v>
      </c>
      <c r="B61" s="18" t="n">
        <v>1</v>
      </c>
      <c r="C61" s="11" t="s">
        <v>33</v>
      </c>
      <c r="D61" s="6"/>
      <c r="E61" s="6"/>
      <c r="F61" s="6"/>
    </row>
    <row r="62" customFormat="false" ht="15" hidden="false" customHeight="false" outlineLevel="0" collapsed="false">
      <c r="A62" s="2" t="s">
        <v>112</v>
      </c>
      <c r="B62" s="19" t="n">
        <v>30</v>
      </c>
      <c r="C62" s="11" t="s">
        <v>113</v>
      </c>
      <c r="D62" s="6"/>
      <c r="E62" s="6"/>
      <c r="F62" s="6"/>
    </row>
    <row r="63" customFormat="false" ht="15" hidden="false" customHeight="false" outlineLevel="0" collapsed="false">
      <c r="A63" s="2" t="s">
        <v>114</v>
      </c>
      <c r="B63" s="12" t="n">
        <v>125</v>
      </c>
      <c r="C63" s="11" t="s">
        <v>33</v>
      </c>
      <c r="D63" s="6"/>
      <c r="E63" s="6"/>
      <c r="F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</row>
    <row r="65" customFormat="false" ht="15" hidden="false" customHeight="false" outlineLevel="0" collapsed="false">
      <c r="A65" s="8" t="s">
        <v>115</v>
      </c>
      <c r="B65" s="9"/>
      <c r="C65" s="9"/>
      <c r="D65" s="6"/>
      <c r="E65" s="6"/>
      <c r="F65" s="6"/>
    </row>
    <row r="66" customFormat="false" ht="15" hidden="false" customHeight="false" outlineLevel="0" collapsed="false">
      <c r="A66" s="2" t="s">
        <v>116</v>
      </c>
      <c r="B66" s="12" t="n">
        <v>2500</v>
      </c>
      <c r="C66" s="11" t="s">
        <v>33</v>
      </c>
      <c r="D66" s="6"/>
      <c r="E66" s="6"/>
      <c r="F66" s="6"/>
    </row>
    <row r="67" customFormat="false" ht="15" hidden="false" customHeight="false" outlineLevel="0" collapsed="false">
      <c r="A67" s="2" t="s">
        <v>117</v>
      </c>
      <c r="B67" s="12" t="n">
        <v>3000</v>
      </c>
      <c r="C67" s="11" t="s">
        <v>33</v>
      </c>
      <c r="D67" s="6"/>
      <c r="E67" s="6"/>
      <c r="F67" s="6"/>
    </row>
    <row r="68" customFormat="false" ht="15" hidden="false" customHeight="false" outlineLevel="0" collapsed="false">
      <c r="A68" s="2" t="s">
        <v>118</v>
      </c>
      <c r="B68" s="12" t="n">
        <v>1000</v>
      </c>
      <c r="C68" s="11" t="s">
        <v>33</v>
      </c>
      <c r="D68" s="6"/>
      <c r="E68" s="6"/>
      <c r="F68" s="6"/>
    </row>
    <row r="69" customFormat="false" ht="15" hidden="false" customHeight="false" outlineLevel="0" collapsed="false">
      <c r="A69" s="2" t="s">
        <v>119</v>
      </c>
      <c r="B69" s="12" t="n">
        <v>800</v>
      </c>
      <c r="C69" s="11" t="s">
        <v>33</v>
      </c>
      <c r="D69" s="6"/>
      <c r="E69" s="6"/>
      <c r="F69" s="6"/>
    </row>
    <row r="70" customFormat="false" ht="15" hidden="false" customHeight="false" outlineLevel="0" collapsed="false">
      <c r="A70" s="2" t="s">
        <v>120</v>
      </c>
      <c r="B70" s="12" t="n">
        <v>4000</v>
      </c>
      <c r="C70" s="11" t="s">
        <v>33</v>
      </c>
      <c r="D70" s="6"/>
      <c r="E70" s="6"/>
      <c r="F70" s="6"/>
    </row>
    <row r="71" customFormat="false" ht="15" hidden="false" customHeight="false" outlineLevel="0" collapsed="false">
      <c r="A71" s="2" t="s">
        <v>121</v>
      </c>
      <c r="B71" s="12" t="n">
        <v>1000</v>
      </c>
      <c r="C71" s="11" t="s">
        <v>33</v>
      </c>
      <c r="D71" s="6"/>
      <c r="E71" s="6"/>
      <c r="F71" s="6"/>
    </row>
    <row r="72" customFormat="false" ht="15" hidden="false" customHeight="false" outlineLevel="0" collapsed="false">
      <c r="A72" s="2" t="s">
        <v>122</v>
      </c>
      <c r="B72" s="12" t="n">
        <v>700</v>
      </c>
      <c r="C72" s="11" t="s">
        <v>33</v>
      </c>
      <c r="D72" s="6"/>
      <c r="E72" s="6"/>
      <c r="F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</row>
    <row r="74" customFormat="false" ht="15" hidden="false" customHeight="false" outlineLevel="0" collapsed="false">
      <c r="A74" s="8" t="s">
        <v>123</v>
      </c>
      <c r="B74" s="9"/>
      <c r="C74" s="9"/>
      <c r="D74" s="6"/>
      <c r="E74" s="6"/>
      <c r="F74" s="6"/>
    </row>
    <row r="75" customFormat="false" ht="15" hidden="false" customHeight="false" outlineLevel="0" collapsed="false">
      <c r="A75" s="2" t="s">
        <v>124</v>
      </c>
      <c r="B75" s="10" t="n">
        <v>120</v>
      </c>
      <c r="C75" s="11" t="s">
        <v>125</v>
      </c>
      <c r="D75" s="6"/>
      <c r="E75" s="6"/>
      <c r="F75" s="6"/>
    </row>
    <row r="76" customFormat="false" ht="15" hidden="false" customHeight="false" outlineLevel="0" collapsed="false">
      <c r="A76" s="2" t="s">
        <v>126</v>
      </c>
      <c r="B76" s="10" t="n">
        <v>90</v>
      </c>
      <c r="C76" s="11" t="s">
        <v>127</v>
      </c>
      <c r="D76" s="6"/>
      <c r="E76" s="6"/>
      <c r="F76" s="6"/>
    </row>
    <row r="77" customFormat="false" ht="15" hidden="false" customHeight="false" outlineLevel="0" collapsed="false">
      <c r="A77" s="2" t="s">
        <v>128</v>
      </c>
      <c r="B77" s="12" t="n">
        <v>90000</v>
      </c>
      <c r="C77" s="11" t="s">
        <v>129</v>
      </c>
      <c r="D77" s="6"/>
      <c r="E77" s="6"/>
      <c r="F77" s="6"/>
    </row>
    <row r="78" customFormat="false" ht="15" hidden="false" customHeight="false" outlineLevel="0" collapsed="false">
      <c r="A78" s="2" t="s">
        <v>130</v>
      </c>
      <c r="B78" s="12" t="n">
        <v>70000</v>
      </c>
      <c r="C78" s="11" t="s">
        <v>33</v>
      </c>
      <c r="D78" s="6"/>
      <c r="E78" s="6"/>
      <c r="F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</row>
    <row r="80" customFormat="false" ht="15" hidden="false" customHeight="false" outlineLevel="0" collapsed="false">
      <c r="A80" s="8" t="s">
        <v>131</v>
      </c>
      <c r="B80" s="9"/>
      <c r="C80" s="9"/>
      <c r="D80" s="6"/>
      <c r="E80" s="6"/>
      <c r="F80" s="6"/>
    </row>
    <row r="81" customFormat="false" ht="15" hidden="false" customHeight="false" outlineLevel="0" collapsed="false">
      <c r="A81" s="3" t="s">
        <v>132</v>
      </c>
      <c r="B81" s="3" t="s">
        <v>133</v>
      </c>
      <c r="C81" s="3" t="s">
        <v>134</v>
      </c>
      <c r="D81" s="3" t="s">
        <v>135</v>
      </c>
      <c r="E81" s="3" t="s">
        <v>136</v>
      </c>
      <c r="F81" s="3" t="s">
        <v>137</v>
      </c>
    </row>
    <row r="82" customFormat="false" ht="15" hidden="false" customHeight="false" outlineLevel="0" collapsed="false">
      <c r="A82" s="6" t="s">
        <v>138</v>
      </c>
      <c r="B82" s="19" t="n">
        <v>1</v>
      </c>
      <c r="C82" s="19" t="n">
        <v>1</v>
      </c>
      <c r="D82" s="19" t="n">
        <v>2</v>
      </c>
      <c r="E82" s="19" t="n">
        <v>4</v>
      </c>
      <c r="F82" s="19" t="n">
        <v>6</v>
      </c>
    </row>
    <row r="83" customFormat="false" ht="15" hidden="false" customHeight="false" outlineLevel="0" collapsed="false">
      <c r="A83" s="6" t="s">
        <v>139</v>
      </c>
      <c r="B83" s="12" t="n">
        <v>150000</v>
      </c>
      <c r="C83" s="12" t="n">
        <v>400000</v>
      </c>
      <c r="D83" s="12" t="n">
        <v>800000</v>
      </c>
      <c r="E83" s="12" t="n">
        <v>1400000</v>
      </c>
      <c r="F83" s="12" t="n">
        <v>2200000</v>
      </c>
    </row>
    <row r="84" customFormat="false" ht="15" hidden="false" customHeight="false" outlineLevel="0" collapsed="false">
      <c r="A84" s="11" t="s">
        <v>140</v>
      </c>
      <c r="B84" s="6"/>
      <c r="C84" s="6"/>
      <c r="D84" s="6"/>
      <c r="E84" s="6"/>
      <c r="F8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141</v>
      </c>
      <c r="B1" s="6"/>
      <c r="C1" s="6"/>
    </row>
    <row r="2" customFormat="false" ht="15" hidden="false" customHeight="false" outlineLevel="0" collapsed="false">
      <c r="A2" s="11" t="s">
        <v>142</v>
      </c>
      <c r="B2" s="6"/>
      <c r="C2" s="6"/>
    </row>
    <row r="3" customFormat="false" ht="15" hidden="false" customHeight="false" outlineLevel="0" collapsed="false">
      <c r="A3" s="6"/>
      <c r="B3" s="6"/>
      <c r="C3" s="6"/>
    </row>
    <row r="4" customFormat="false" ht="15" hidden="false" customHeight="false" outlineLevel="0" collapsed="false">
      <c r="A4" s="7" t="s">
        <v>143</v>
      </c>
      <c r="B4" s="7" t="s">
        <v>144</v>
      </c>
      <c r="C4" s="7" t="s">
        <v>145</v>
      </c>
    </row>
    <row r="5" customFormat="false" ht="15" hidden="false" customHeight="false" outlineLevel="0" collapsed="false">
      <c r="A5" s="2" t="s">
        <v>146</v>
      </c>
      <c r="B5" s="23" t="n">
        <f aca="false">Inputs!$B$13</f>
        <v>550</v>
      </c>
      <c r="C5" s="6"/>
    </row>
    <row r="6" customFormat="false" ht="15" hidden="false" customHeight="false" outlineLevel="0" collapsed="false">
      <c r="A6" s="2" t="s">
        <v>147</v>
      </c>
      <c r="B6" s="24" t="n">
        <f aca="false">$B$5*(1-Inputs!$B$19)</f>
        <v>330</v>
      </c>
      <c r="C6" s="6"/>
    </row>
    <row r="7" customFormat="false" ht="15" hidden="false" customHeight="false" outlineLevel="0" collapsed="false">
      <c r="A7" s="2" t="s">
        <v>148</v>
      </c>
      <c r="B7" s="24" t="n">
        <f aca="false">$B$5*Inputs!$B$19</f>
        <v>220</v>
      </c>
      <c r="C7" s="6"/>
    </row>
    <row r="8" customFormat="false" ht="15" hidden="false" customHeight="false" outlineLevel="0" collapsed="false">
      <c r="A8" s="2" t="s">
        <v>149</v>
      </c>
      <c r="B8" s="24" t="n">
        <f aca="false">$B$6+$B$7*Inputs!$B$21</f>
        <v>473</v>
      </c>
      <c r="C8" s="6"/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7" t="s">
        <v>150</v>
      </c>
      <c r="B10" s="7" t="s">
        <v>144</v>
      </c>
      <c r="C10" s="7" t="s">
        <v>145</v>
      </c>
    </row>
    <row r="11" customFormat="false" ht="15" hidden="false" customHeight="false" outlineLevel="0" collapsed="false">
      <c r="A11" s="2" t="s">
        <v>151</v>
      </c>
      <c r="B11" s="25" t="n">
        <f aca="false">$B$6*Inputs!$B$6</f>
        <v>49500</v>
      </c>
      <c r="C11" s="26" t="n">
        <f aca="false">IF($B$5=0,0,B11/$B$5)</f>
        <v>90</v>
      </c>
    </row>
    <row r="12" customFormat="false" ht="15" hidden="false" customHeight="false" outlineLevel="0" collapsed="false">
      <c r="A12" s="2" t="s">
        <v>152</v>
      </c>
      <c r="B12" s="25" t="n">
        <f aca="false">$B$7*Inputs!$B$20</f>
        <v>30800</v>
      </c>
      <c r="C12" s="26" t="n">
        <f aca="false">IF($B$5=0,0,B12/$B$5)</f>
        <v>56</v>
      </c>
    </row>
    <row r="13" customFormat="false" ht="15" hidden="false" customHeight="false" outlineLevel="0" collapsed="false">
      <c r="A13" s="2" t="s">
        <v>153</v>
      </c>
      <c r="B13" s="25" t="n">
        <f aca="false">$B$8*Inputs!$B$11</f>
        <v>10879</v>
      </c>
      <c r="C13" s="26" t="n">
        <f aca="false">IF($B$5=0,0,B13/$B$5)</f>
        <v>19.78</v>
      </c>
    </row>
    <row r="14" customFormat="false" ht="15" hidden="false" customHeight="false" outlineLevel="0" collapsed="false">
      <c r="A14" s="3" t="s">
        <v>154</v>
      </c>
      <c r="B14" s="27" t="n">
        <f aca="false">$B$11+$B$12+$B$13</f>
        <v>91179</v>
      </c>
      <c r="C14" s="26" t="n">
        <f aca="false">IF($B$5=0,0,B14/$B$5)</f>
        <v>165.78</v>
      </c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7" t="s">
        <v>155</v>
      </c>
      <c r="B16" s="7" t="s">
        <v>144</v>
      </c>
      <c r="C16" s="7" t="s">
        <v>145</v>
      </c>
    </row>
    <row r="17" customFormat="false" ht="15" hidden="false" customHeight="false" outlineLevel="0" collapsed="false">
      <c r="A17" s="2" t="s">
        <v>156</v>
      </c>
      <c r="B17" s="25" t="n">
        <f aca="false">($B$11+$B$13)*Inputs!$B$12</f>
        <v>1811.37</v>
      </c>
      <c r="C17" s="26" t="n">
        <f aca="false">IF($B$5=0,0,B17/$B$5)</f>
        <v>3.2934</v>
      </c>
    </row>
    <row r="18" customFormat="false" ht="15" hidden="false" customHeight="false" outlineLevel="0" collapsed="false">
      <c r="A18" s="2" t="s">
        <v>157</v>
      </c>
      <c r="B18" s="25" t="n">
        <f aca="false">$B$12*Inputs!$B$23</f>
        <v>3080</v>
      </c>
      <c r="C18" s="26" t="n">
        <f aca="false">IF($B$5=0,0,B18/$B$5)</f>
        <v>5.6</v>
      </c>
    </row>
    <row r="19" customFormat="false" ht="15" hidden="false" customHeight="false" outlineLevel="0" collapsed="false">
      <c r="A19" s="2" t="s">
        <v>158</v>
      </c>
      <c r="B19" s="25" t="n">
        <f aca="false">$B$8*(Inputs!$B$31/60*Inputs!$B$32/Inputs!$B$40*Inputs!$B$38*(1+Inputs!$B$39)+Inputs!$B$43)</f>
        <v>13780.0666666667</v>
      </c>
      <c r="C19" s="26" t="n">
        <f aca="false">IF($B$5=0,0,B19/$B$5)</f>
        <v>25.0546666666667</v>
      </c>
    </row>
    <row r="20" customFormat="false" ht="15" hidden="false" customHeight="false" outlineLevel="0" collapsed="false">
      <c r="A20" s="2" t="s">
        <v>159</v>
      </c>
      <c r="B20" s="25" t="n">
        <f aca="false">$B$8*Inputs!$B$26*Inputs!$B$33*Inputs!$B$34</f>
        <v>3746.16</v>
      </c>
      <c r="C20" s="26" t="n">
        <f aca="false">IF($B$5=0,0,B20/$B$5)</f>
        <v>6.8112</v>
      </c>
    </row>
    <row r="21" customFormat="false" ht="15" hidden="false" customHeight="false" outlineLevel="0" collapsed="false">
      <c r="A21" s="2" t="s">
        <v>160</v>
      </c>
      <c r="B21" s="25" t="n">
        <f aca="false">$B$8*Inputs!$B$26*Inputs!$B$35</f>
        <v>2128.5</v>
      </c>
      <c r="C21" s="26" t="n">
        <f aca="false">IF($B$5=0,0,B21/$B$5)</f>
        <v>3.87</v>
      </c>
    </row>
    <row r="22" customFormat="false" ht="15" hidden="false" customHeight="false" outlineLevel="0" collapsed="false">
      <c r="A22" s="3" t="s">
        <v>161</v>
      </c>
      <c r="B22" s="27" t="n">
        <f aca="false">SUM($B$17:$B$21)</f>
        <v>24546.0966666667</v>
      </c>
      <c r="C22" s="26" t="n">
        <f aca="false">IF($B$5=0,0,B22/$B$5)</f>
        <v>44.6292666666667</v>
      </c>
    </row>
    <row r="23" customFormat="false" ht="15" hidden="false" customHeight="false" outlineLevel="0" collapsed="false">
      <c r="A23" s="3" t="s">
        <v>162</v>
      </c>
      <c r="B23" s="27" t="n">
        <f aca="false">$B$14-$B$22</f>
        <v>66632.9033333333</v>
      </c>
      <c r="C23" s="26" t="n">
        <f aca="false">IF($B$5=0,0,B23/$B$5)</f>
        <v>121.150733333333</v>
      </c>
    </row>
    <row r="24" customFormat="false" ht="15" hidden="false" customHeight="false" outlineLevel="0" collapsed="false">
      <c r="A24" s="6"/>
      <c r="B24" s="6"/>
      <c r="C24" s="6"/>
    </row>
    <row r="25" customFormat="false" ht="15" hidden="false" customHeight="false" outlineLevel="0" collapsed="false">
      <c r="A25" s="7" t="s">
        <v>163</v>
      </c>
      <c r="B25" s="7" t="s">
        <v>144</v>
      </c>
      <c r="C25" s="7" t="s">
        <v>145</v>
      </c>
    </row>
    <row r="26" customFormat="false" ht="15" hidden="false" customHeight="false" outlineLevel="0" collapsed="false">
      <c r="A26" s="2" t="s">
        <v>164</v>
      </c>
      <c r="B26" s="25" t="n">
        <f aca="false">IF(Inputs!$B$49=2,MAX(Inputs!$B$51,$B$14*Inputs!$B$50),Inputs!$B$47*Inputs!$B$48/12)</f>
        <v>13676.85</v>
      </c>
      <c r="C26" s="26" t="n">
        <f aca="false">IF($B$5=0,0,B26/$B$5)</f>
        <v>24.867</v>
      </c>
    </row>
    <row r="27" customFormat="false" ht="15" hidden="false" customHeight="false" outlineLevel="0" collapsed="false">
      <c r="A27" s="2" t="s">
        <v>165</v>
      </c>
      <c r="B27" s="25" t="n">
        <f aca="false">Inputs!$B$57*(1+Inputs!$B$39)/12</f>
        <v>4312.5</v>
      </c>
      <c r="C27" s="26" t="n">
        <f aca="false">IF($B$5=0,0,B27/$B$5)</f>
        <v>7.84090909090909</v>
      </c>
    </row>
    <row r="28" customFormat="false" ht="15" hidden="false" customHeight="false" outlineLevel="0" collapsed="false">
      <c r="A28" s="2" t="s">
        <v>166</v>
      </c>
      <c r="B28" s="25" t="n">
        <f aca="false">Inputs!$B$29*Inputs!$B$30*Inputs!$B$61*Inputs!$B$60*(1+Inputs!$B$39)</f>
        <v>10626</v>
      </c>
      <c r="C28" s="26" t="n">
        <f aca="false">IF($B$5=0,0,B28/$B$5)</f>
        <v>19.32</v>
      </c>
    </row>
    <row r="29" customFormat="false" ht="15" hidden="false" customHeight="false" outlineLevel="0" collapsed="false">
      <c r="A29" s="2" t="s">
        <v>167</v>
      </c>
      <c r="B29" s="25" t="n">
        <f aca="false">Inputs!$B$62*Inputs!$B$63</f>
        <v>3750</v>
      </c>
      <c r="C29" s="26" t="n">
        <f aca="false">IF($B$5=0,0,B29/$B$5)</f>
        <v>6.81818181818182</v>
      </c>
    </row>
    <row r="30" customFormat="false" ht="15" hidden="false" customHeight="false" outlineLevel="0" collapsed="false">
      <c r="A30" s="2" t="s">
        <v>168</v>
      </c>
      <c r="B30" s="25" t="n">
        <f aca="false">Inputs!$B$66+Inputs!$B$67+Inputs!$B$68+Inputs!$B$69+Inputs!$B$70+Inputs!$B$71+Inputs!$B$72</f>
        <v>13000</v>
      </c>
      <c r="C30" s="26" t="n">
        <f aca="false">IF($B$5=0,0,B30/$B$5)</f>
        <v>23.6363636363636</v>
      </c>
    </row>
    <row r="31" customFormat="false" ht="15" hidden="false" customHeight="false" outlineLevel="0" collapsed="false">
      <c r="A31" s="3" t="s">
        <v>169</v>
      </c>
      <c r="B31" s="27" t="n">
        <f aca="false">SUM($B$26:$B$30)</f>
        <v>45365.35</v>
      </c>
      <c r="C31" s="26" t="n">
        <f aca="false">IF($B$5=0,0,B31/$B$5)</f>
        <v>82.4824545454545</v>
      </c>
    </row>
    <row r="32" customFormat="false" ht="15" hidden="false" customHeight="false" outlineLevel="0" collapsed="false">
      <c r="A32" s="6"/>
      <c r="B32" s="6"/>
      <c r="C32" s="6"/>
    </row>
    <row r="33" customFormat="false" ht="15" hidden="false" customHeight="false" outlineLevel="0" collapsed="false">
      <c r="A33" s="7" t="s">
        <v>170</v>
      </c>
      <c r="B33" s="7" t="s">
        <v>144</v>
      </c>
      <c r="C33" s="7" t="s">
        <v>145</v>
      </c>
    </row>
    <row r="34" customFormat="false" ht="15" hidden="false" customHeight="false" outlineLevel="0" collapsed="false">
      <c r="A34" s="3" t="s">
        <v>171</v>
      </c>
      <c r="B34" s="27" t="n">
        <f aca="false">$B$23-$B$31</f>
        <v>21267.5533333333</v>
      </c>
      <c r="C34" s="26" t="n">
        <f aca="false">IF($B$5=0,0,B34/$B$5)</f>
        <v>38.6682787878788</v>
      </c>
    </row>
    <row r="35" customFormat="false" ht="15" hidden="false" customHeight="false" outlineLevel="0" collapsed="false">
      <c r="A35" s="3" t="s">
        <v>172</v>
      </c>
      <c r="B35" s="28" t="n">
        <f aca="false">IF($B$14=0,0,$B$34/$B$14)</f>
        <v>0.233250565736994</v>
      </c>
      <c r="C35" s="6"/>
    </row>
    <row r="36" customFormat="false" ht="15" hidden="false" customHeight="false" outlineLevel="0" collapsed="false">
      <c r="A36" s="3" t="s">
        <v>173</v>
      </c>
      <c r="B36" s="27" t="n">
        <f aca="false">$B$34*12</f>
        <v>255210.64</v>
      </c>
      <c r="C36" s="6"/>
    </row>
    <row r="37" customFormat="false" ht="15" hidden="false" customHeight="false" outlineLevel="0" collapsed="false">
      <c r="A37" s="2" t="s">
        <v>174</v>
      </c>
      <c r="B37" s="25" t="n">
        <f aca="false">Inputs!$B$58*(1+Inputs!$B$39)/12</f>
        <v>11500</v>
      </c>
      <c r="C37" s="6"/>
    </row>
    <row r="38" customFormat="false" ht="15" hidden="false" customHeight="false" outlineLevel="0" collapsed="false">
      <c r="A38" s="3" t="s">
        <v>175</v>
      </c>
      <c r="B38" s="27" t="n">
        <f aca="false">$B$34-$B$37</f>
        <v>9767.55333333334</v>
      </c>
      <c r="C38" s="6"/>
    </row>
    <row r="39" customFormat="false" ht="15" hidden="false" customHeight="false" outlineLevel="0" collapsed="false">
      <c r="A39" s="3" t="s">
        <v>176</v>
      </c>
      <c r="B39" s="27" t="n">
        <f aca="false">$B$38*12</f>
        <v>117210.64</v>
      </c>
      <c r="C39" s="6"/>
    </row>
    <row r="40" customFormat="false" ht="15" hidden="false" customHeight="false" outlineLevel="0" collapsed="false">
      <c r="A40" s="6"/>
      <c r="B40" s="6"/>
      <c r="C40" s="6"/>
    </row>
    <row r="41" customFormat="false" ht="15" hidden="false" customHeight="false" outlineLevel="0" collapsed="false">
      <c r="A41" s="7" t="s">
        <v>177</v>
      </c>
      <c r="B41" s="7" t="s">
        <v>144</v>
      </c>
      <c r="C41" s="7" t="s">
        <v>145</v>
      </c>
    </row>
    <row r="42" customFormat="false" ht="15" hidden="false" customHeight="false" outlineLevel="0" collapsed="false">
      <c r="A42" s="2" t="s">
        <v>178</v>
      </c>
      <c r="B42" s="15" t="n">
        <f aca="false">Inputs!$B$31/60*Inputs!$B$32/Inputs!$B$40*Inputs!$B$38*(1+Inputs!$B$39)+Inputs!$B$43</f>
        <v>29.1333333333333</v>
      </c>
      <c r="C42" s="6"/>
    </row>
    <row r="43" customFormat="false" ht="15" hidden="false" customHeight="false" outlineLevel="0" collapsed="false">
      <c r="A43" s="2" t="s">
        <v>179</v>
      </c>
      <c r="B43" s="15" t="n">
        <f aca="false">Inputs!$B$26*(Inputs!$B$33*Inputs!$B$34+Inputs!$B$35)</f>
        <v>12.42</v>
      </c>
      <c r="C43" s="6"/>
    </row>
    <row r="44" customFormat="false" ht="15" hidden="false" customHeight="false" outlineLevel="0" collapsed="false">
      <c r="A44" s="2" t="s">
        <v>180</v>
      </c>
      <c r="B44" s="15" t="n">
        <f aca="false">(Inputs!$B$6+Inputs!$B$11)*(1-Inputs!$B$12)-$B$42-$B$43</f>
        <v>126.256666666667</v>
      </c>
      <c r="C44" s="6"/>
    </row>
    <row r="45" customFormat="false" ht="15" hidden="false" customHeight="false" outlineLevel="0" collapsed="false">
      <c r="A45" s="2" t="s">
        <v>181</v>
      </c>
      <c r="B45" s="15" t="n">
        <f aca="false">Inputs!$B$20*(1-Inputs!$B$23)+Inputs!$B$21*(Inputs!$B$11*(1-Inputs!$B$12)-$B$42-$B$43)</f>
        <v>113.491833333333</v>
      </c>
      <c r="C45" s="6"/>
    </row>
    <row r="46" customFormat="false" ht="15" hidden="false" customHeight="false" outlineLevel="0" collapsed="false">
      <c r="A46" s="3" t="s">
        <v>182</v>
      </c>
      <c r="B46" s="29" t="n">
        <f aca="false">(1-Inputs!$B$19)*$B$44+Inputs!$B$19*$B$45</f>
        <v>121.150733333333</v>
      </c>
      <c r="C46" s="6"/>
    </row>
    <row r="47" customFormat="false" ht="15" hidden="false" customHeight="false" outlineLevel="0" collapsed="false">
      <c r="A47" s="2" t="s">
        <v>183</v>
      </c>
      <c r="B47" s="15" t="n">
        <f aca="false">(1-Inputs!$B$19)*(Inputs!$B$6+Inputs!$B$11)+Inputs!$B$19*(Inputs!$B$20+Inputs!$B$21*Inputs!$B$11)</f>
        <v>165.78</v>
      </c>
      <c r="C47" s="6"/>
    </row>
    <row r="48" customFormat="false" ht="15" hidden="false" customHeight="false" outlineLevel="0" collapsed="false">
      <c r="A48" s="2" t="s">
        <v>184</v>
      </c>
      <c r="B48" s="15" t="n">
        <f aca="false">$B$47-$B$46</f>
        <v>44.6292666666667</v>
      </c>
      <c r="C48" s="6"/>
    </row>
    <row r="49" customFormat="false" ht="15" hidden="false" customHeight="false" outlineLevel="0" collapsed="false">
      <c r="A49" s="2" t="s">
        <v>185</v>
      </c>
      <c r="B49" s="30" t="n">
        <f aca="false">(1-Inputs!$B$19)*Inputs!$B$16+Inputs!$B$19*Inputs!$B$22</f>
        <v>0.03</v>
      </c>
      <c r="C49" s="6"/>
    </row>
    <row r="50" customFormat="false" ht="15" hidden="false" customHeight="false" outlineLevel="0" collapsed="false">
      <c r="A50" s="2" t="s">
        <v>186</v>
      </c>
      <c r="B50" s="25" t="n">
        <f aca="false">$B$31-$B$26+Inputs!$B$47*Inputs!$B$48/12</f>
        <v>42688.5</v>
      </c>
      <c r="C50" s="6"/>
    </row>
    <row r="51" customFormat="false" ht="15" hidden="false" customHeight="false" outlineLevel="0" collapsed="false">
      <c r="A51" s="3" t="s">
        <v>187</v>
      </c>
      <c r="B51" s="31" t="n">
        <f aca="false">IF($B$46&lt;=0,"Never",ROUNDUP($B$50/$B$46,0))</f>
        <v>353</v>
      </c>
      <c r="C51" s="6"/>
    </row>
    <row r="52" customFormat="false" ht="15" hidden="false" customHeight="false" outlineLevel="0" collapsed="false">
      <c r="A52" s="3" t="s">
        <v>188</v>
      </c>
      <c r="B52" s="31" t="n">
        <f aca="false">IF($B$46-$B$47*Inputs!$B$50&lt;=0,"Never",ROUNDUP(($B$50-Inputs!$B$47*Inputs!$B$48/12+$B$37)/($B$46-$B$47*Inputs!$B$50),0))</f>
        <v>449</v>
      </c>
      <c r="C52" s="6"/>
    </row>
    <row r="53" customFormat="false" ht="15" hidden="false" customHeight="false" outlineLevel="0" collapsed="false">
      <c r="A53" s="3" t="s">
        <v>189</v>
      </c>
      <c r="B53" s="31" t="n">
        <f aca="false">IF($B$46-$B$47*Inputs!$B$50&lt;=0,"Never",ROUNDUP(($B$50-Inputs!$B$47*Inputs!$B$48/12)/($B$46-$B$47*Inputs!$B$50),0))</f>
        <v>330</v>
      </c>
      <c r="C53" s="6"/>
    </row>
    <row r="54" customFormat="false" ht="15" hidden="false" customHeight="false" outlineLevel="0" collapsed="false">
      <c r="A54" s="6"/>
      <c r="B54" s="6"/>
      <c r="C54" s="6"/>
    </row>
    <row r="55" customFormat="false" ht="15" hidden="false" customHeight="false" outlineLevel="0" collapsed="false">
      <c r="A55" s="7" t="s">
        <v>190</v>
      </c>
      <c r="B55" s="7" t="s">
        <v>144</v>
      </c>
      <c r="C55" s="7" t="s">
        <v>145</v>
      </c>
    </row>
    <row r="56" customFormat="false" ht="15" hidden="false" customHeight="false" outlineLevel="0" collapsed="false">
      <c r="A56" s="2" t="s">
        <v>191</v>
      </c>
      <c r="B56" s="32" t="n">
        <f aca="false">$B$8*Inputs!$B$26/Inputs!$B$30*Inputs!$B$27/Inputs!$B$29*Inputs!$B$28</f>
        <v>25.3392857142857</v>
      </c>
      <c r="C56" s="6"/>
    </row>
    <row r="57" customFormat="false" ht="15" hidden="false" customHeight="false" outlineLevel="0" collapsed="false">
      <c r="A57" s="2" t="s">
        <v>102</v>
      </c>
      <c r="B57" s="23" t="n">
        <f aca="false">Inputs!$B$54</f>
        <v>45</v>
      </c>
      <c r="C57" s="6"/>
    </row>
    <row r="58" customFormat="false" ht="15" hidden="false" customHeight="false" outlineLevel="0" collapsed="false">
      <c r="A58" s="3" t="s">
        <v>192</v>
      </c>
      <c r="B58" s="33" t="str">
        <f aca="false">IF($B$56&lt;=$B$57,"OK","Over capacity")</f>
        <v>OK</v>
      </c>
      <c r="C58" s="6"/>
    </row>
    <row r="59" customFormat="false" ht="15" hidden="false" customHeight="false" outlineLevel="0" collapsed="false">
      <c r="A59" s="2" t="s">
        <v>193</v>
      </c>
      <c r="B59" s="24" t="n">
        <f aca="false">$B$8*(Inputs!$B$31/60*Inputs!$B$32+Inputs!$B$9*15/60)</f>
        <v>236.5</v>
      </c>
      <c r="C59" s="6"/>
    </row>
    <row r="60" customFormat="false" ht="15" hidden="false" customHeight="false" outlineLevel="0" collapsed="false">
      <c r="A60" s="2" t="s">
        <v>194</v>
      </c>
      <c r="B60" s="24" t="n">
        <f aca="false">Inputs!$B$42*Inputs!$B$29*Inputs!$B$30*Inputs!$B$44</f>
        <v>819</v>
      </c>
      <c r="C60" s="6"/>
    </row>
    <row r="61" customFormat="false" ht="15" hidden="false" customHeight="false" outlineLevel="0" collapsed="false">
      <c r="A61" s="3" t="s">
        <v>195</v>
      </c>
      <c r="B61" s="33" t="str">
        <f aca="false">IF($B$59&lt;=$B$60,"OK","Need more stations")</f>
        <v>OK</v>
      </c>
      <c r="C61" s="6"/>
    </row>
    <row r="62" customFormat="false" ht="15" hidden="false" customHeight="false" outlineLevel="0" collapsed="false">
      <c r="A62" s="2" t="s">
        <v>196</v>
      </c>
      <c r="B62" s="24" t="n">
        <f aca="false">IF(Inputs!$B$31*Inputs!$B$32+Inputs!$B$9*15=0,0,ROUNDDOWN($B$60/(Inputs!$B$31/60*Inputs!$B$32+Inputs!$B$9*15/60),0))</f>
        <v>1638</v>
      </c>
      <c r="C62" s="6"/>
    </row>
    <row r="63" customFormat="false" ht="15" hidden="false" customHeight="false" outlineLevel="0" collapsed="false">
      <c r="A63" s="2" t="s">
        <v>197</v>
      </c>
      <c r="B63" s="24" t="n">
        <f aca="false">ROUNDUP($B$59/Inputs!$B$40/Inputs!$B$41,0)</f>
        <v>4</v>
      </c>
      <c r="C63" s="6"/>
    </row>
    <row r="64" customFormat="false" ht="15" hidden="false" customHeight="false" outlineLevel="0" collapsed="false">
      <c r="A64" s="6"/>
      <c r="B64" s="6"/>
      <c r="C64" s="6"/>
    </row>
    <row r="65" customFormat="false" ht="15" hidden="false" customHeight="false" outlineLevel="0" collapsed="false">
      <c r="A65" s="7" t="s">
        <v>198</v>
      </c>
      <c r="B65" s="7" t="s">
        <v>144</v>
      </c>
      <c r="C65" s="7" t="s">
        <v>145</v>
      </c>
    </row>
    <row r="66" customFormat="false" ht="15" hidden="false" customHeight="false" outlineLevel="0" collapsed="false">
      <c r="A66" s="2" t="s">
        <v>199</v>
      </c>
      <c r="B66" s="25" t="n">
        <f aca="false">Inputs!$B$47*MAX(0,Inputs!$B$75-Inputs!$B$76)</f>
        <v>72000</v>
      </c>
      <c r="C66" s="6"/>
    </row>
    <row r="67" customFormat="false" ht="15" hidden="false" customHeight="false" outlineLevel="0" collapsed="false">
      <c r="A67" s="2" t="s">
        <v>128</v>
      </c>
      <c r="B67" s="34" t="n">
        <f aca="false">Inputs!$B$77</f>
        <v>90000</v>
      </c>
      <c r="C67" s="6"/>
    </row>
    <row r="68" customFormat="false" ht="15" hidden="false" customHeight="false" outlineLevel="0" collapsed="false">
      <c r="A68" s="2" t="s">
        <v>200</v>
      </c>
      <c r="B68" s="34" t="n">
        <f aca="false">Inputs!$B$78</f>
        <v>70000</v>
      </c>
      <c r="C68" s="6"/>
    </row>
    <row r="69" customFormat="false" ht="15" hidden="false" customHeight="false" outlineLevel="0" collapsed="false">
      <c r="A69" s="3" t="s">
        <v>201</v>
      </c>
      <c r="B69" s="27" t="n">
        <f aca="false">SUM($B$66:$B$68)</f>
        <v>232000</v>
      </c>
      <c r="C69" s="6"/>
    </row>
    <row r="70" customFormat="false" ht="15" hidden="false" customHeight="false" outlineLevel="0" collapsed="false">
      <c r="A70" s="3" t="s">
        <v>202</v>
      </c>
      <c r="B70" s="35" t="n">
        <f aca="false">IF($B$36&lt;=0,"Never",$B$69/$B$36)</f>
        <v>0.90905300813477</v>
      </c>
      <c r="C7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8" min="2" style="0" width="11"/>
  </cols>
  <sheetData>
    <row r="1" customFormat="false" ht="17.35" hidden="false" customHeight="false" outlineLevel="0" collapsed="false">
      <c r="A1" s="1" t="s">
        <v>203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customFormat="false" ht="15" hidden="false" customHeight="false" outlineLevel="0" collapsed="false">
      <c r="A2" s="11" t="s">
        <v>204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customFormat="false" ht="15" hidden="false" customHeight="false" outlineLevel="0" collapsed="false">
      <c r="A4" s="3" t="s">
        <v>205</v>
      </c>
      <c r="B4" s="8" t="n">
        <v>0</v>
      </c>
      <c r="C4" s="8" t="n">
        <v>1</v>
      </c>
      <c r="D4" s="8" t="n">
        <v>2</v>
      </c>
      <c r="E4" s="8" t="n">
        <v>3</v>
      </c>
      <c r="F4" s="8" t="n">
        <v>4</v>
      </c>
      <c r="G4" s="8" t="n">
        <v>5</v>
      </c>
      <c r="H4" s="8" t="n">
        <v>6</v>
      </c>
      <c r="I4" s="8" t="n">
        <v>7</v>
      </c>
      <c r="J4" s="8" t="n">
        <v>8</v>
      </c>
      <c r="K4" s="8" t="n">
        <v>9</v>
      </c>
      <c r="L4" s="8" t="n">
        <v>10</v>
      </c>
      <c r="M4" s="8" t="n">
        <v>11</v>
      </c>
      <c r="N4" s="8" t="n">
        <v>12</v>
      </c>
      <c r="O4" s="8" t="n">
        <v>13</v>
      </c>
      <c r="P4" s="8" t="n">
        <v>14</v>
      </c>
      <c r="Q4" s="8" t="n">
        <v>15</v>
      </c>
      <c r="R4" s="8" t="n">
        <v>16</v>
      </c>
      <c r="S4" s="8" t="n">
        <v>17</v>
      </c>
      <c r="T4" s="8" t="n">
        <v>18</v>
      </c>
      <c r="U4" s="8" t="n">
        <v>19</v>
      </c>
      <c r="V4" s="8" t="n">
        <v>20</v>
      </c>
      <c r="W4" s="8" t="n">
        <v>21</v>
      </c>
      <c r="X4" s="8" t="n">
        <v>22</v>
      </c>
      <c r="Y4" s="8" t="n">
        <v>23</v>
      </c>
      <c r="Z4" s="8" t="n">
        <v>24</v>
      </c>
      <c r="AA4" s="8" t="n">
        <v>25</v>
      </c>
      <c r="AB4" s="8" t="n">
        <v>26</v>
      </c>
      <c r="AC4" s="8" t="n">
        <v>27</v>
      </c>
      <c r="AD4" s="8" t="n">
        <v>28</v>
      </c>
      <c r="AE4" s="8" t="n">
        <v>29</v>
      </c>
      <c r="AF4" s="8" t="n">
        <v>30</v>
      </c>
      <c r="AG4" s="8" t="n">
        <v>31</v>
      </c>
      <c r="AH4" s="8" t="n">
        <v>32</v>
      </c>
      <c r="AI4" s="8" t="n">
        <v>33</v>
      </c>
      <c r="AJ4" s="8" t="n">
        <v>34</v>
      </c>
      <c r="AK4" s="8" t="n">
        <v>35</v>
      </c>
      <c r="AL4" s="8" t="n">
        <v>36</v>
      </c>
    </row>
    <row r="5" customFormat="false" ht="15" hidden="false" customHeight="false" outlineLevel="0" collapsed="false">
      <c r="A5" s="2" t="s">
        <v>143</v>
      </c>
      <c r="B5" s="24" t="n">
        <v>0</v>
      </c>
      <c r="C5" s="24" t="n">
        <f aca="false">Inputs!$B$14</f>
        <v>150</v>
      </c>
      <c r="D5" s="24" t="n">
        <f aca="false">MIN(Inputs!$B$13,C5*(1-'Unit Economics'!$B$49)+Inputs!$B$15)</f>
        <v>185.5</v>
      </c>
      <c r="E5" s="24" t="n">
        <f aca="false">MIN(Inputs!$B$13,D5*(1-'Unit Economics'!$B$49)+Inputs!$B$15)</f>
        <v>219.935</v>
      </c>
      <c r="F5" s="24" t="n">
        <f aca="false">MIN(Inputs!$B$13,E5*(1-'Unit Economics'!$B$49)+Inputs!$B$15)</f>
        <v>253.33695</v>
      </c>
      <c r="G5" s="24" t="n">
        <f aca="false">MIN(Inputs!$B$13,F5*(1-'Unit Economics'!$B$49)+Inputs!$B$15)</f>
        <v>285.7368415</v>
      </c>
      <c r="H5" s="24" t="n">
        <f aca="false">MIN(Inputs!$B$13,G5*(1-'Unit Economics'!$B$49)+Inputs!$B$15)</f>
        <v>317.164736255</v>
      </c>
      <c r="I5" s="24" t="n">
        <f aca="false">MIN(Inputs!$B$13,H5*(1-'Unit Economics'!$B$49)+Inputs!$B$15)</f>
        <v>347.64979416735</v>
      </c>
      <c r="J5" s="24" t="n">
        <f aca="false">MIN(Inputs!$B$13,I5*(1-'Unit Economics'!$B$49)+Inputs!$B$15)</f>
        <v>377.220300342329</v>
      </c>
      <c r="K5" s="24" t="n">
        <f aca="false">MIN(Inputs!$B$13,J5*(1-'Unit Economics'!$B$49)+Inputs!$B$15)</f>
        <v>405.90369133206</v>
      </c>
      <c r="L5" s="24" t="n">
        <f aca="false">MIN(Inputs!$B$13,K5*(1-'Unit Economics'!$B$49)+Inputs!$B$15)</f>
        <v>433.726580592098</v>
      </c>
      <c r="M5" s="24" t="n">
        <f aca="false">MIN(Inputs!$B$13,L5*(1-'Unit Economics'!$B$49)+Inputs!$B$15)</f>
        <v>460.714783174335</v>
      </c>
      <c r="N5" s="24" t="n">
        <f aca="false">MIN(Inputs!$B$13,M5*(1-'Unit Economics'!$B$49)+Inputs!$B$15)</f>
        <v>486.893339679105</v>
      </c>
      <c r="O5" s="24" t="n">
        <f aca="false">MIN(Inputs!$B$13,N5*(1-'Unit Economics'!$B$49)+Inputs!$B$15)</f>
        <v>512.286539488732</v>
      </c>
      <c r="P5" s="24" t="n">
        <f aca="false">MIN(Inputs!$B$13,O5*(1-'Unit Economics'!$B$49)+Inputs!$B$15)</f>
        <v>536.91794330407</v>
      </c>
      <c r="Q5" s="24" t="n">
        <f aca="false">MIN(Inputs!$B$13,P5*(1-'Unit Economics'!$B$49)+Inputs!$B$15)</f>
        <v>550</v>
      </c>
      <c r="R5" s="24" t="n">
        <f aca="false">MIN(Inputs!$B$13,Q5*(1-'Unit Economics'!$B$49)+Inputs!$B$15)</f>
        <v>550</v>
      </c>
      <c r="S5" s="24" t="n">
        <f aca="false">MIN(Inputs!$B$13,R5*(1-'Unit Economics'!$B$49)+Inputs!$B$15)</f>
        <v>550</v>
      </c>
      <c r="T5" s="24" t="n">
        <f aca="false">MIN(Inputs!$B$13,S5*(1-'Unit Economics'!$B$49)+Inputs!$B$15)</f>
        <v>550</v>
      </c>
      <c r="U5" s="24" t="n">
        <f aca="false">MIN(Inputs!$B$13,T5*(1-'Unit Economics'!$B$49)+Inputs!$B$15)</f>
        <v>550</v>
      </c>
      <c r="V5" s="24" t="n">
        <f aca="false">MIN(Inputs!$B$13,U5*(1-'Unit Economics'!$B$49)+Inputs!$B$15)</f>
        <v>550</v>
      </c>
      <c r="W5" s="24" t="n">
        <f aca="false">MIN(Inputs!$B$13,V5*(1-'Unit Economics'!$B$49)+Inputs!$B$15)</f>
        <v>550</v>
      </c>
      <c r="X5" s="24" t="n">
        <f aca="false">MIN(Inputs!$B$13,W5*(1-'Unit Economics'!$B$49)+Inputs!$B$15)</f>
        <v>550</v>
      </c>
      <c r="Y5" s="24" t="n">
        <f aca="false">MIN(Inputs!$B$13,X5*(1-'Unit Economics'!$B$49)+Inputs!$B$15)</f>
        <v>550</v>
      </c>
      <c r="Z5" s="24" t="n">
        <f aca="false">MIN(Inputs!$B$13,Y5*(1-'Unit Economics'!$B$49)+Inputs!$B$15)</f>
        <v>550</v>
      </c>
      <c r="AA5" s="24" t="n">
        <f aca="false">MIN(Inputs!$B$13,Z5*(1-'Unit Economics'!$B$49)+Inputs!$B$15)</f>
        <v>550</v>
      </c>
      <c r="AB5" s="24" t="n">
        <f aca="false">MIN(Inputs!$B$13,AA5*(1-'Unit Economics'!$B$49)+Inputs!$B$15)</f>
        <v>550</v>
      </c>
      <c r="AC5" s="24" t="n">
        <f aca="false">MIN(Inputs!$B$13,AB5*(1-'Unit Economics'!$B$49)+Inputs!$B$15)</f>
        <v>550</v>
      </c>
      <c r="AD5" s="24" t="n">
        <f aca="false">MIN(Inputs!$B$13,AC5*(1-'Unit Economics'!$B$49)+Inputs!$B$15)</f>
        <v>550</v>
      </c>
      <c r="AE5" s="24" t="n">
        <f aca="false">MIN(Inputs!$B$13,AD5*(1-'Unit Economics'!$B$49)+Inputs!$B$15)</f>
        <v>550</v>
      </c>
      <c r="AF5" s="24" t="n">
        <f aca="false">MIN(Inputs!$B$13,AE5*(1-'Unit Economics'!$B$49)+Inputs!$B$15)</f>
        <v>550</v>
      </c>
      <c r="AG5" s="24" t="n">
        <f aca="false">MIN(Inputs!$B$13,AF5*(1-'Unit Economics'!$B$49)+Inputs!$B$15)</f>
        <v>550</v>
      </c>
      <c r="AH5" s="24" t="n">
        <f aca="false">MIN(Inputs!$B$13,AG5*(1-'Unit Economics'!$B$49)+Inputs!$B$15)</f>
        <v>550</v>
      </c>
      <c r="AI5" s="24" t="n">
        <f aca="false">MIN(Inputs!$B$13,AH5*(1-'Unit Economics'!$B$49)+Inputs!$B$15)</f>
        <v>550</v>
      </c>
      <c r="AJ5" s="24" t="n">
        <f aca="false">MIN(Inputs!$B$13,AI5*(1-'Unit Economics'!$B$49)+Inputs!$B$15)</f>
        <v>550</v>
      </c>
      <c r="AK5" s="24" t="n">
        <f aca="false">MIN(Inputs!$B$13,AJ5*(1-'Unit Economics'!$B$49)+Inputs!$B$15)</f>
        <v>550</v>
      </c>
      <c r="AL5" s="24" t="n">
        <f aca="false">MIN(Inputs!$B$13,AK5*(1-'Unit Economics'!$B$49)+Inputs!$B$15)</f>
        <v>550</v>
      </c>
    </row>
    <row r="6" customFormat="false" ht="15" hidden="false" customHeight="false" outlineLevel="0" collapsed="false">
      <c r="A6" s="2" t="s">
        <v>150</v>
      </c>
      <c r="B6" s="25" t="n">
        <v>0</v>
      </c>
      <c r="C6" s="25" t="n">
        <f aca="false">C5*'Unit Economics'!$B$47</f>
        <v>24867</v>
      </c>
      <c r="D6" s="25" t="n">
        <f aca="false">D5*'Unit Economics'!$B$47</f>
        <v>30752.19</v>
      </c>
      <c r="E6" s="25" t="n">
        <f aca="false">E5*'Unit Economics'!$B$47</f>
        <v>36460.8243</v>
      </c>
      <c r="F6" s="25" t="n">
        <f aca="false">F5*'Unit Economics'!$B$47</f>
        <v>41998.199571</v>
      </c>
      <c r="G6" s="25" t="n">
        <f aca="false">G5*'Unit Economics'!$B$47</f>
        <v>47369.45358387</v>
      </c>
      <c r="H6" s="25" t="n">
        <f aca="false">H5*'Unit Economics'!$B$47</f>
        <v>52579.5699763539</v>
      </c>
      <c r="I6" s="25" t="n">
        <f aca="false">I5*'Unit Economics'!$B$47</f>
        <v>57633.3828770633</v>
      </c>
      <c r="J6" s="25" t="n">
        <f aca="false">J5*'Unit Economics'!$B$47</f>
        <v>62535.5813907514</v>
      </c>
      <c r="K6" s="25" t="n">
        <f aca="false">K5*'Unit Economics'!$B$47</f>
        <v>67290.7139490288</v>
      </c>
      <c r="L6" s="25" t="n">
        <f aca="false">L5*'Unit Economics'!$B$47</f>
        <v>71903.192530558</v>
      </c>
      <c r="M6" s="25" t="n">
        <f aca="false">M5*'Unit Economics'!$B$47</f>
        <v>76377.2967546412</v>
      </c>
      <c r="N6" s="25" t="n">
        <f aca="false">N5*'Unit Economics'!$B$47</f>
        <v>80717.177852002</v>
      </c>
      <c r="O6" s="25" t="n">
        <f aca="false">O5*'Unit Economics'!$B$47</f>
        <v>84926.8625164419</v>
      </c>
      <c r="P6" s="25" t="n">
        <f aca="false">P5*'Unit Economics'!$B$47</f>
        <v>89010.2566409487</v>
      </c>
      <c r="Q6" s="25" t="n">
        <f aca="false">Q5*'Unit Economics'!$B$47</f>
        <v>91179</v>
      </c>
      <c r="R6" s="25" t="n">
        <f aca="false">R5*'Unit Economics'!$B$47</f>
        <v>91179</v>
      </c>
      <c r="S6" s="25" t="n">
        <f aca="false">S5*'Unit Economics'!$B$47</f>
        <v>91179</v>
      </c>
      <c r="T6" s="25" t="n">
        <f aca="false">T5*'Unit Economics'!$B$47</f>
        <v>91179</v>
      </c>
      <c r="U6" s="25" t="n">
        <f aca="false">U5*'Unit Economics'!$B$47</f>
        <v>91179</v>
      </c>
      <c r="V6" s="25" t="n">
        <f aca="false">V5*'Unit Economics'!$B$47</f>
        <v>91179</v>
      </c>
      <c r="W6" s="25" t="n">
        <f aca="false">W5*'Unit Economics'!$B$47</f>
        <v>91179</v>
      </c>
      <c r="X6" s="25" t="n">
        <f aca="false">X5*'Unit Economics'!$B$47</f>
        <v>91179</v>
      </c>
      <c r="Y6" s="25" t="n">
        <f aca="false">Y5*'Unit Economics'!$B$47</f>
        <v>91179</v>
      </c>
      <c r="Z6" s="25" t="n">
        <f aca="false">Z5*'Unit Economics'!$B$47</f>
        <v>91179</v>
      </c>
      <c r="AA6" s="25" t="n">
        <f aca="false">AA5*'Unit Economics'!$B$47</f>
        <v>91179</v>
      </c>
      <c r="AB6" s="25" t="n">
        <f aca="false">AB5*'Unit Economics'!$B$47</f>
        <v>91179</v>
      </c>
      <c r="AC6" s="25" t="n">
        <f aca="false">AC5*'Unit Economics'!$B$47</f>
        <v>91179</v>
      </c>
      <c r="AD6" s="25" t="n">
        <f aca="false">AD5*'Unit Economics'!$B$47</f>
        <v>91179</v>
      </c>
      <c r="AE6" s="25" t="n">
        <f aca="false">AE5*'Unit Economics'!$B$47</f>
        <v>91179</v>
      </c>
      <c r="AF6" s="25" t="n">
        <f aca="false">AF5*'Unit Economics'!$B$47</f>
        <v>91179</v>
      </c>
      <c r="AG6" s="25" t="n">
        <f aca="false">AG5*'Unit Economics'!$B$47</f>
        <v>91179</v>
      </c>
      <c r="AH6" s="25" t="n">
        <f aca="false">AH5*'Unit Economics'!$B$47</f>
        <v>91179</v>
      </c>
      <c r="AI6" s="25" t="n">
        <f aca="false">AI5*'Unit Economics'!$B$47</f>
        <v>91179</v>
      </c>
      <c r="AJ6" s="25" t="n">
        <f aca="false">AJ5*'Unit Economics'!$B$47</f>
        <v>91179</v>
      </c>
      <c r="AK6" s="25" t="n">
        <f aca="false">AK5*'Unit Economics'!$B$47</f>
        <v>91179</v>
      </c>
      <c r="AL6" s="25" t="n">
        <f aca="false">AL5*'Unit Economics'!$B$47</f>
        <v>91179</v>
      </c>
    </row>
    <row r="7" customFormat="false" ht="15" hidden="false" customHeight="false" outlineLevel="0" collapsed="false">
      <c r="A7" s="2" t="s">
        <v>206</v>
      </c>
      <c r="B7" s="25" t="n">
        <v>0</v>
      </c>
      <c r="C7" s="25" t="n">
        <f aca="false">C5*'Unit Economics'!$B$48</f>
        <v>6694.39</v>
      </c>
      <c r="D7" s="25" t="n">
        <f aca="false">D5*'Unit Economics'!$B$48</f>
        <v>8278.72896666667</v>
      </c>
      <c r="E7" s="25" t="n">
        <f aca="false">E5*'Unit Economics'!$B$48</f>
        <v>9815.53776433333</v>
      </c>
      <c r="F7" s="25" t="n">
        <f aca="false">F5*'Unit Economics'!$B$48</f>
        <v>11306.24229807</v>
      </c>
      <c r="G7" s="25" t="n">
        <f aca="false">G5*'Unit Economics'!$B$48</f>
        <v>12752.2256957946</v>
      </c>
      <c r="H7" s="25" t="n">
        <f aca="false">H5*'Unit Economics'!$B$48</f>
        <v>14154.8295915874</v>
      </c>
      <c r="I7" s="25" t="n">
        <f aca="false">I5*'Unit Economics'!$B$48</f>
        <v>15515.3553705064</v>
      </c>
      <c r="J7" s="25" t="n">
        <f aca="false">J5*'Unit Economics'!$B$48</f>
        <v>16835.0653760579</v>
      </c>
      <c r="K7" s="25" t="n">
        <f aca="false">K5*'Unit Economics'!$B$48</f>
        <v>18115.1840814428</v>
      </c>
      <c r="L7" s="25" t="n">
        <f aca="false">L5*'Unit Economics'!$B$48</f>
        <v>19356.8992256662</v>
      </c>
      <c r="M7" s="25" t="n">
        <f aca="false">M5*'Unit Economics'!$B$48</f>
        <v>20561.3629155629</v>
      </c>
      <c r="N7" s="25" t="n">
        <f aca="false">N5*'Unit Economics'!$B$48</f>
        <v>21729.6926947627</v>
      </c>
      <c r="O7" s="25" t="n">
        <f aca="false">O5*'Unit Economics'!$B$48</f>
        <v>22862.9725805865</v>
      </c>
      <c r="P7" s="25" t="n">
        <f aca="false">P5*'Unit Economics'!$B$48</f>
        <v>23962.2540698355</v>
      </c>
      <c r="Q7" s="25" t="n">
        <f aca="false">Q5*'Unit Economics'!$B$48</f>
        <v>24546.0966666667</v>
      </c>
      <c r="R7" s="25" t="n">
        <f aca="false">R5*'Unit Economics'!$B$48</f>
        <v>24546.0966666667</v>
      </c>
      <c r="S7" s="25" t="n">
        <f aca="false">S5*'Unit Economics'!$B$48</f>
        <v>24546.0966666667</v>
      </c>
      <c r="T7" s="25" t="n">
        <f aca="false">T5*'Unit Economics'!$B$48</f>
        <v>24546.0966666667</v>
      </c>
      <c r="U7" s="25" t="n">
        <f aca="false">U5*'Unit Economics'!$B$48</f>
        <v>24546.0966666667</v>
      </c>
      <c r="V7" s="25" t="n">
        <f aca="false">V5*'Unit Economics'!$B$48</f>
        <v>24546.0966666667</v>
      </c>
      <c r="W7" s="25" t="n">
        <f aca="false">W5*'Unit Economics'!$B$48</f>
        <v>24546.0966666667</v>
      </c>
      <c r="X7" s="25" t="n">
        <f aca="false">X5*'Unit Economics'!$B$48</f>
        <v>24546.0966666667</v>
      </c>
      <c r="Y7" s="25" t="n">
        <f aca="false">Y5*'Unit Economics'!$B$48</f>
        <v>24546.0966666667</v>
      </c>
      <c r="Z7" s="25" t="n">
        <f aca="false">Z5*'Unit Economics'!$B$48</f>
        <v>24546.0966666667</v>
      </c>
      <c r="AA7" s="25" t="n">
        <f aca="false">AA5*'Unit Economics'!$B$48</f>
        <v>24546.0966666667</v>
      </c>
      <c r="AB7" s="25" t="n">
        <f aca="false">AB5*'Unit Economics'!$B$48</f>
        <v>24546.0966666667</v>
      </c>
      <c r="AC7" s="25" t="n">
        <f aca="false">AC5*'Unit Economics'!$B$48</f>
        <v>24546.0966666667</v>
      </c>
      <c r="AD7" s="25" t="n">
        <f aca="false">AD5*'Unit Economics'!$B$48</f>
        <v>24546.0966666667</v>
      </c>
      <c r="AE7" s="25" t="n">
        <f aca="false">AE5*'Unit Economics'!$B$48</f>
        <v>24546.0966666667</v>
      </c>
      <c r="AF7" s="25" t="n">
        <f aca="false">AF5*'Unit Economics'!$B$48</f>
        <v>24546.0966666667</v>
      </c>
      <c r="AG7" s="25" t="n">
        <f aca="false">AG5*'Unit Economics'!$B$48</f>
        <v>24546.0966666667</v>
      </c>
      <c r="AH7" s="25" t="n">
        <f aca="false">AH5*'Unit Economics'!$B$48</f>
        <v>24546.0966666667</v>
      </c>
      <c r="AI7" s="25" t="n">
        <f aca="false">AI5*'Unit Economics'!$B$48</f>
        <v>24546.0966666667</v>
      </c>
      <c r="AJ7" s="25" t="n">
        <f aca="false">AJ5*'Unit Economics'!$B$48</f>
        <v>24546.0966666667</v>
      </c>
      <c r="AK7" s="25" t="n">
        <f aca="false">AK5*'Unit Economics'!$B$48</f>
        <v>24546.0966666667</v>
      </c>
      <c r="AL7" s="25" t="n">
        <f aca="false">AL5*'Unit Economics'!$B$48</f>
        <v>24546.0966666667</v>
      </c>
    </row>
    <row r="8" customFormat="false" ht="15" hidden="false" customHeight="false" outlineLevel="0" collapsed="false">
      <c r="A8" s="2" t="s">
        <v>207</v>
      </c>
      <c r="B8" s="25" t="n">
        <v>0</v>
      </c>
      <c r="C8" s="25" t="n">
        <f aca="false">IF(C4&lt;=Inputs!$B$52,Inputs!$B$53,IF(Inputs!$B$49=2,MAX(Inputs!$B$51,C6*Inputs!$B$50),Inputs!$B$47*Inputs!$B$48/12))</f>
        <v>3000</v>
      </c>
      <c r="D8" s="25" t="n">
        <f aca="false">IF(D4&lt;=Inputs!$B$52,Inputs!$B$53,IF(Inputs!$B$49=2,MAX(Inputs!$B$51,D6*Inputs!$B$50),Inputs!$B$47*Inputs!$B$48/12))</f>
        <v>3000</v>
      </c>
      <c r="E8" s="25" t="n">
        <f aca="false">IF(E4&lt;=Inputs!$B$52,Inputs!$B$53,IF(Inputs!$B$49=2,MAX(Inputs!$B$51,E6*Inputs!$B$50),Inputs!$B$47*Inputs!$B$48/12))</f>
        <v>3000</v>
      </c>
      <c r="F8" s="25" t="n">
        <f aca="false">IF(F4&lt;=Inputs!$B$52,Inputs!$B$53,IF(Inputs!$B$49=2,MAX(Inputs!$B$51,F6*Inputs!$B$50),Inputs!$B$47*Inputs!$B$48/12))</f>
        <v>3000</v>
      </c>
      <c r="G8" s="25" t="n">
        <f aca="false">IF(G4&lt;=Inputs!$B$52,Inputs!$B$53,IF(Inputs!$B$49=2,MAX(Inputs!$B$51,G6*Inputs!$B$50),Inputs!$B$47*Inputs!$B$48/12))</f>
        <v>3000</v>
      </c>
      <c r="H8" s="25" t="n">
        <f aca="false">IF(H4&lt;=Inputs!$B$52,Inputs!$B$53,IF(Inputs!$B$49=2,MAX(Inputs!$B$51,H6*Inputs!$B$50),Inputs!$B$47*Inputs!$B$48/12))</f>
        <v>3000</v>
      </c>
      <c r="I8" s="25" t="n">
        <f aca="false">IF(I4&lt;=Inputs!$B$52,Inputs!$B$53,IF(Inputs!$B$49=2,MAX(Inputs!$B$51,I6*Inputs!$B$50),Inputs!$B$47*Inputs!$B$48/12))</f>
        <v>8645.00743155949</v>
      </c>
      <c r="J8" s="25" t="n">
        <f aca="false">IF(J4&lt;=Inputs!$B$52,Inputs!$B$53,IF(Inputs!$B$49=2,MAX(Inputs!$B$51,J6*Inputs!$B$50),Inputs!$B$47*Inputs!$B$48/12))</f>
        <v>9380.33720861271</v>
      </c>
      <c r="K8" s="25" t="n">
        <f aca="false">IF(K4&lt;=Inputs!$B$52,Inputs!$B$53,IF(Inputs!$B$49=2,MAX(Inputs!$B$51,K6*Inputs!$B$50),Inputs!$B$47*Inputs!$B$48/12))</f>
        <v>10093.6070923543</v>
      </c>
      <c r="L8" s="25" t="n">
        <f aca="false">IF(L4&lt;=Inputs!$B$52,Inputs!$B$53,IF(Inputs!$B$49=2,MAX(Inputs!$B$51,L6*Inputs!$B$50),Inputs!$B$47*Inputs!$B$48/12))</f>
        <v>10785.4788795837</v>
      </c>
      <c r="M8" s="25" t="n">
        <f aca="false">IF(M4&lt;=Inputs!$B$52,Inputs!$B$53,IF(Inputs!$B$49=2,MAX(Inputs!$B$51,M6*Inputs!$B$50),Inputs!$B$47*Inputs!$B$48/12))</f>
        <v>11456.5945131962</v>
      </c>
      <c r="N8" s="25" t="n">
        <f aca="false">IF(N4&lt;=Inputs!$B$52,Inputs!$B$53,IF(Inputs!$B$49=2,MAX(Inputs!$B$51,N6*Inputs!$B$50),Inputs!$B$47*Inputs!$B$48/12))</f>
        <v>12107.5766778003</v>
      </c>
      <c r="O8" s="25" t="n">
        <f aca="false">IF(O4&lt;=Inputs!$B$52,Inputs!$B$53,IF(Inputs!$B$49=2,MAX(Inputs!$B$51,O6*Inputs!$B$50),Inputs!$B$47*Inputs!$B$48/12))</f>
        <v>12739.0293774663</v>
      </c>
      <c r="P8" s="25" t="n">
        <f aca="false">IF(P4&lt;=Inputs!$B$52,Inputs!$B$53,IF(Inputs!$B$49=2,MAX(Inputs!$B$51,P6*Inputs!$B$50),Inputs!$B$47*Inputs!$B$48/12))</f>
        <v>13351.5384961423</v>
      </c>
      <c r="Q8" s="25" t="n">
        <f aca="false">IF(Q4&lt;=Inputs!$B$52,Inputs!$B$53,IF(Inputs!$B$49=2,MAX(Inputs!$B$51,Q6*Inputs!$B$50),Inputs!$B$47*Inputs!$B$48/12))</f>
        <v>13676.85</v>
      </c>
      <c r="R8" s="25" t="n">
        <f aca="false">IF(R4&lt;=Inputs!$B$52,Inputs!$B$53,IF(Inputs!$B$49=2,MAX(Inputs!$B$51,R6*Inputs!$B$50),Inputs!$B$47*Inputs!$B$48/12))</f>
        <v>13676.85</v>
      </c>
      <c r="S8" s="25" t="n">
        <f aca="false">IF(S4&lt;=Inputs!$B$52,Inputs!$B$53,IF(Inputs!$B$49=2,MAX(Inputs!$B$51,S6*Inputs!$B$50),Inputs!$B$47*Inputs!$B$48/12))</f>
        <v>13676.85</v>
      </c>
      <c r="T8" s="25" t="n">
        <f aca="false">IF(T4&lt;=Inputs!$B$52,Inputs!$B$53,IF(Inputs!$B$49=2,MAX(Inputs!$B$51,T6*Inputs!$B$50),Inputs!$B$47*Inputs!$B$48/12))</f>
        <v>13676.85</v>
      </c>
      <c r="U8" s="25" t="n">
        <f aca="false">IF(U4&lt;=Inputs!$B$52,Inputs!$B$53,IF(Inputs!$B$49=2,MAX(Inputs!$B$51,U6*Inputs!$B$50),Inputs!$B$47*Inputs!$B$48/12))</f>
        <v>13676.85</v>
      </c>
      <c r="V8" s="25" t="n">
        <f aca="false">IF(V4&lt;=Inputs!$B$52,Inputs!$B$53,IF(Inputs!$B$49=2,MAX(Inputs!$B$51,V6*Inputs!$B$50),Inputs!$B$47*Inputs!$B$48/12))</f>
        <v>13676.85</v>
      </c>
      <c r="W8" s="25" t="n">
        <f aca="false">IF(W4&lt;=Inputs!$B$52,Inputs!$B$53,IF(Inputs!$B$49=2,MAX(Inputs!$B$51,W6*Inputs!$B$50),Inputs!$B$47*Inputs!$B$48/12))</f>
        <v>13676.85</v>
      </c>
      <c r="X8" s="25" t="n">
        <f aca="false">IF(X4&lt;=Inputs!$B$52,Inputs!$B$53,IF(Inputs!$B$49=2,MAX(Inputs!$B$51,X6*Inputs!$B$50),Inputs!$B$47*Inputs!$B$48/12))</f>
        <v>13676.85</v>
      </c>
      <c r="Y8" s="25" t="n">
        <f aca="false">IF(Y4&lt;=Inputs!$B$52,Inputs!$B$53,IF(Inputs!$B$49=2,MAX(Inputs!$B$51,Y6*Inputs!$B$50),Inputs!$B$47*Inputs!$B$48/12))</f>
        <v>13676.85</v>
      </c>
      <c r="Z8" s="25" t="n">
        <f aca="false">IF(Z4&lt;=Inputs!$B$52,Inputs!$B$53,IF(Inputs!$B$49=2,MAX(Inputs!$B$51,Z6*Inputs!$B$50),Inputs!$B$47*Inputs!$B$48/12))</f>
        <v>13676.85</v>
      </c>
      <c r="AA8" s="25" t="n">
        <f aca="false">IF(AA4&lt;=Inputs!$B$52,Inputs!$B$53,IF(Inputs!$B$49=2,MAX(Inputs!$B$51,AA6*Inputs!$B$50),Inputs!$B$47*Inputs!$B$48/12))</f>
        <v>13676.85</v>
      </c>
      <c r="AB8" s="25" t="n">
        <f aca="false">IF(AB4&lt;=Inputs!$B$52,Inputs!$B$53,IF(Inputs!$B$49=2,MAX(Inputs!$B$51,AB6*Inputs!$B$50),Inputs!$B$47*Inputs!$B$48/12))</f>
        <v>13676.85</v>
      </c>
      <c r="AC8" s="25" t="n">
        <f aca="false">IF(AC4&lt;=Inputs!$B$52,Inputs!$B$53,IF(Inputs!$B$49=2,MAX(Inputs!$B$51,AC6*Inputs!$B$50),Inputs!$B$47*Inputs!$B$48/12))</f>
        <v>13676.85</v>
      </c>
      <c r="AD8" s="25" t="n">
        <f aca="false">IF(AD4&lt;=Inputs!$B$52,Inputs!$B$53,IF(Inputs!$B$49=2,MAX(Inputs!$B$51,AD6*Inputs!$B$50),Inputs!$B$47*Inputs!$B$48/12))</f>
        <v>13676.85</v>
      </c>
      <c r="AE8" s="25" t="n">
        <f aca="false">IF(AE4&lt;=Inputs!$B$52,Inputs!$B$53,IF(Inputs!$B$49=2,MAX(Inputs!$B$51,AE6*Inputs!$B$50),Inputs!$B$47*Inputs!$B$48/12))</f>
        <v>13676.85</v>
      </c>
      <c r="AF8" s="25" t="n">
        <f aca="false">IF(AF4&lt;=Inputs!$B$52,Inputs!$B$53,IF(Inputs!$B$49=2,MAX(Inputs!$B$51,AF6*Inputs!$B$50),Inputs!$B$47*Inputs!$B$48/12))</f>
        <v>13676.85</v>
      </c>
      <c r="AG8" s="25" t="n">
        <f aca="false">IF(AG4&lt;=Inputs!$B$52,Inputs!$B$53,IF(Inputs!$B$49=2,MAX(Inputs!$B$51,AG6*Inputs!$B$50),Inputs!$B$47*Inputs!$B$48/12))</f>
        <v>13676.85</v>
      </c>
      <c r="AH8" s="25" t="n">
        <f aca="false">IF(AH4&lt;=Inputs!$B$52,Inputs!$B$53,IF(Inputs!$B$49=2,MAX(Inputs!$B$51,AH6*Inputs!$B$50),Inputs!$B$47*Inputs!$B$48/12))</f>
        <v>13676.85</v>
      </c>
      <c r="AI8" s="25" t="n">
        <f aca="false">IF(AI4&lt;=Inputs!$B$52,Inputs!$B$53,IF(Inputs!$B$49=2,MAX(Inputs!$B$51,AI6*Inputs!$B$50),Inputs!$B$47*Inputs!$B$48/12))</f>
        <v>13676.85</v>
      </c>
      <c r="AJ8" s="25" t="n">
        <f aca="false">IF(AJ4&lt;=Inputs!$B$52,Inputs!$B$53,IF(Inputs!$B$49=2,MAX(Inputs!$B$51,AJ6*Inputs!$B$50),Inputs!$B$47*Inputs!$B$48/12))</f>
        <v>13676.85</v>
      </c>
      <c r="AK8" s="25" t="n">
        <f aca="false">IF(AK4&lt;=Inputs!$B$52,Inputs!$B$53,IF(Inputs!$B$49=2,MAX(Inputs!$B$51,AK6*Inputs!$B$50),Inputs!$B$47*Inputs!$B$48/12))</f>
        <v>13676.85</v>
      </c>
      <c r="AL8" s="25" t="n">
        <f aca="false">IF(AL4&lt;=Inputs!$B$52,Inputs!$B$53,IF(Inputs!$B$49=2,MAX(Inputs!$B$51,AL6*Inputs!$B$50),Inputs!$B$47*Inputs!$B$48/12))</f>
        <v>13676.85</v>
      </c>
    </row>
    <row r="9" customFormat="false" ht="15" hidden="false" customHeight="false" outlineLevel="0" collapsed="false">
      <c r="A9" s="2" t="s">
        <v>208</v>
      </c>
      <c r="B9" s="25" t="n">
        <v>0</v>
      </c>
      <c r="C9" s="25" t="n">
        <f aca="false">('Unit Economics'!$B$31-'Unit Economics'!$B$26)</f>
        <v>31688.5</v>
      </c>
      <c r="D9" s="25" t="n">
        <f aca="false">('Unit Economics'!$B$31-'Unit Economics'!$B$26)</f>
        <v>31688.5</v>
      </c>
      <c r="E9" s="25" t="n">
        <f aca="false">('Unit Economics'!$B$31-'Unit Economics'!$B$26)</f>
        <v>31688.5</v>
      </c>
      <c r="F9" s="25" t="n">
        <f aca="false">('Unit Economics'!$B$31-'Unit Economics'!$B$26)</f>
        <v>31688.5</v>
      </c>
      <c r="G9" s="25" t="n">
        <f aca="false">('Unit Economics'!$B$31-'Unit Economics'!$B$26)</f>
        <v>31688.5</v>
      </c>
      <c r="H9" s="25" t="n">
        <f aca="false">('Unit Economics'!$B$31-'Unit Economics'!$B$26)</f>
        <v>31688.5</v>
      </c>
      <c r="I9" s="25" t="n">
        <f aca="false">('Unit Economics'!$B$31-'Unit Economics'!$B$26)</f>
        <v>31688.5</v>
      </c>
      <c r="J9" s="25" t="n">
        <f aca="false">('Unit Economics'!$B$31-'Unit Economics'!$B$26)</f>
        <v>31688.5</v>
      </c>
      <c r="K9" s="25" t="n">
        <f aca="false">('Unit Economics'!$B$31-'Unit Economics'!$B$26)</f>
        <v>31688.5</v>
      </c>
      <c r="L9" s="25" t="n">
        <f aca="false">('Unit Economics'!$B$31-'Unit Economics'!$B$26)</f>
        <v>31688.5</v>
      </c>
      <c r="M9" s="25" t="n">
        <f aca="false">('Unit Economics'!$B$31-'Unit Economics'!$B$26)</f>
        <v>31688.5</v>
      </c>
      <c r="N9" s="25" t="n">
        <f aca="false">('Unit Economics'!$B$31-'Unit Economics'!$B$26)</f>
        <v>31688.5</v>
      </c>
      <c r="O9" s="25" t="n">
        <f aca="false">('Unit Economics'!$B$31-'Unit Economics'!$B$26)</f>
        <v>31688.5</v>
      </c>
      <c r="P9" s="25" t="n">
        <f aca="false">('Unit Economics'!$B$31-'Unit Economics'!$B$26)</f>
        <v>31688.5</v>
      </c>
      <c r="Q9" s="25" t="n">
        <f aca="false">('Unit Economics'!$B$31-'Unit Economics'!$B$26)</f>
        <v>31688.5</v>
      </c>
      <c r="R9" s="25" t="n">
        <f aca="false">('Unit Economics'!$B$31-'Unit Economics'!$B$26)</f>
        <v>31688.5</v>
      </c>
      <c r="S9" s="25" t="n">
        <f aca="false">('Unit Economics'!$B$31-'Unit Economics'!$B$26)</f>
        <v>31688.5</v>
      </c>
      <c r="T9" s="25" t="n">
        <f aca="false">('Unit Economics'!$B$31-'Unit Economics'!$B$26)</f>
        <v>31688.5</v>
      </c>
      <c r="U9" s="25" t="n">
        <f aca="false">('Unit Economics'!$B$31-'Unit Economics'!$B$26)</f>
        <v>31688.5</v>
      </c>
      <c r="V9" s="25" t="n">
        <f aca="false">('Unit Economics'!$B$31-'Unit Economics'!$B$26)</f>
        <v>31688.5</v>
      </c>
      <c r="W9" s="25" t="n">
        <f aca="false">('Unit Economics'!$B$31-'Unit Economics'!$B$26)</f>
        <v>31688.5</v>
      </c>
      <c r="X9" s="25" t="n">
        <f aca="false">('Unit Economics'!$B$31-'Unit Economics'!$B$26)</f>
        <v>31688.5</v>
      </c>
      <c r="Y9" s="25" t="n">
        <f aca="false">('Unit Economics'!$B$31-'Unit Economics'!$B$26)</f>
        <v>31688.5</v>
      </c>
      <c r="Z9" s="25" t="n">
        <f aca="false">('Unit Economics'!$B$31-'Unit Economics'!$B$26)</f>
        <v>31688.5</v>
      </c>
      <c r="AA9" s="25" t="n">
        <f aca="false">('Unit Economics'!$B$31-'Unit Economics'!$B$26)</f>
        <v>31688.5</v>
      </c>
      <c r="AB9" s="25" t="n">
        <f aca="false">('Unit Economics'!$B$31-'Unit Economics'!$B$26)</f>
        <v>31688.5</v>
      </c>
      <c r="AC9" s="25" t="n">
        <f aca="false">('Unit Economics'!$B$31-'Unit Economics'!$B$26)</f>
        <v>31688.5</v>
      </c>
      <c r="AD9" s="25" t="n">
        <f aca="false">('Unit Economics'!$B$31-'Unit Economics'!$B$26)</f>
        <v>31688.5</v>
      </c>
      <c r="AE9" s="25" t="n">
        <f aca="false">('Unit Economics'!$B$31-'Unit Economics'!$B$26)</f>
        <v>31688.5</v>
      </c>
      <c r="AF9" s="25" t="n">
        <f aca="false">('Unit Economics'!$B$31-'Unit Economics'!$B$26)</f>
        <v>31688.5</v>
      </c>
      <c r="AG9" s="25" t="n">
        <f aca="false">('Unit Economics'!$B$31-'Unit Economics'!$B$26)</f>
        <v>31688.5</v>
      </c>
      <c r="AH9" s="25" t="n">
        <f aca="false">('Unit Economics'!$B$31-'Unit Economics'!$B$26)</f>
        <v>31688.5</v>
      </c>
      <c r="AI9" s="25" t="n">
        <f aca="false">('Unit Economics'!$B$31-'Unit Economics'!$B$26)</f>
        <v>31688.5</v>
      </c>
      <c r="AJ9" s="25" t="n">
        <f aca="false">('Unit Economics'!$B$31-'Unit Economics'!$B$26)</f>
        <v>31688.5</v>
      </c>
      <c r="AK9" s="25" t="n">
        <f aca="false">('Unit Economics'!$B$31-'Unit Economics'!$B$26)</f>
        <v>31688.5</v>
      </c>
      <c r="AL9" s="25" t="n">
        <f aca="false">('Unit Economics'!$B$31-'Unit Economics'!$B$26)</f>
        <v>31688.5</v>
      </c>
    </row>
    <row r="10" customFormat="false" ht="15" hidden="false" customHeight="false" outlineLevel="0" collapsed="false">
      <c r="A10" s="3" t="s">
        <v>209</v>
      </c>
      <c r="B10" s="27" t="n">
        <v>0</v>
      </c>
      <c r="C10" s="27" t="n">
        <f aca="false">C6-C7-C8-C9</f>
        <v>-16515.89</v>
      </c>
      <c r="D10" s="27" t="n">
        <f aca="false">D6-D7-D8-D9</f>
        <v>-12215.0389666667</v>
      </c>
      <c r="E10" s="27" t="n">
        <f aca="false">E6-E7-E8-E9</f>
        <v>-8043.21346433333</v>
      </c>
      <c r="F10" s="27" t="n">
        <f aca="false">F6-F7-F8-F9</f>
        <v>-3996.54272707</v>
      </c>
      <c r="G10" s="27" t="n">
        <f aca="false">G6-G7-G8-G9</f>
        <v>-71.2721119245689</v>
      </c>
      <c r="H10" s="27" t="n">
        <f aca="false">H6-H7-H8-H9</f>
        <v>3736.2403847665</v>
      </c>
      <c r="I10" s="27" t="n">
        <f aca="false">I6-I7-I8-I9</f>
        <v>1784.52007499734</v>
      </c>
      <c r="J10" s="27" t="n">
        <f aca="false">J6-J7-J8-J9</f>
        <v>4631.67880608076</v>
      </c>
      <c r="K10" s="27" t="n">
        <f aca="false">K6-K7-K8-K9</f>
        <v>7393.42277523167</v>
      </c>
      <c r="L10" s="27" t="n">
        <f aca="false">L6-L7-L8-L9</f>
        <v>10072.314425308</v>
      </c>
      <c r="M10" s="27" t="n">
        <f aca="false">M6-M7-M8-M9</f>
        <v>12670.8393258821</v>
      </c>
      <c r="N10" s="27" t="n">
        <f aca="false">N6-N7-N8-N9</f>
        <v>15191.408479439</v>
      </c>
      <c r="O10" s="27" t="n">
        <f aca="false">O6-O7-O8-O9</f>
        <v>17636.3605583892</v>
      </c>
      <c r="P10" s="27" t="n">
        <f aca="false">P6-P7-P8-P9</f>
        <v>20007.9640749708</v>
      </c>
      <c r="Q10" s="27" t="n">
        <f aca="false">Q6-Q7-Q8-Q9</f>
        <v>21267.5533333333</v>
      </c>
      <c r="R10" s="27" t="n">
        <f aca="false">R6-R7-R8-R9</f>
        <v>21267.5533333333</v>
      </c>
      <c r="S10" s="27" t="n">
        <f aca="false">S6-S7-S8-S9</f>
        <v>21267.5533333333</v>
      </c>
      <c r="T10" s="27" t="n">
        <f aca="false">T6-T7-T8-T9</f>
        <v>21267.5533333333</v>
      </c>
      <c r="U10" s="27" t="n">
        <f aca="false">U6-U7-U8-U9</f>
        <v>21267.5533333333</v>
      </c>
      <c r="V10" s="27" t="n">
        <f aca="false">V6-V7-V8-V9</f>
        <v>21267.5533333333</v>
      </c>
      <c r="W10" s="27" t="n">
        <f aca="false">W6-W7-W8-W9</f>
        <v>21267.5533333333</v>
      </c>
      <c r="X10" s="27" t="n">
        <f aca="false">X6-X7-X8-X9</f>
        <v>21267.5533333333</v>
      </c>
      <c r="Y10" s="27" t="n">
        <f aca="false">Y6-Y7-Y8-Y9</f>
        <v>21267.5533333333</v>
      </c>
      <c r="Z10" s="27" t="n">
        <f aca="false">Z6-Z7-Z8-Z9</f>
        <v>21267.5533333333</v>
      </c>
      <c r="AA10" s="27" t="n">
        <f aca="false">AA6-AA7-AA8-AA9</f>
        <v>21267.5533333333</v>
      </c>
      <c r="AB10" s="27" t="n">
        <f aca="false">AB6-AB7-AB8-AB9</f>
        <v>21267.5533333333</v>
      </c>
      <c r="AC10" s="27" t="n">
        <f aca="false">AC6-AC7-AC8-AC9</f>
        <v>21267.5533333333</v>
      </c>
      <c r="AD10" s="27" t="n">
        <f aca="false">AD6-AD7-AD8-AD9</f>
        <v>21267.5533333333</v>
      </c>
      <c r="AE10" s="27" t="n">
        <f aca="false">AE6-AE7-AE8-AE9</f>
        <v>21267.5533333333</v>
      </c>
      <c r="AF10" s="27" t="n">
        <f aca="false">AF6-AF7-AF8-AF9</f>
        <v>21267.5533333333</v>
      </c>
      <c r="AG10" s="27" t="n">
        <f aca="false">AG6-AG7-AG8-AG9</f>
        <v>21267.5533333333</v>
      </c>
      <c r="AH10" s="27" t="n">
        <f aca="false">AH6-AH7-AH8-AH9</f>
        <v>21267.5533333333</v>
      </c>
      <c r="AI10" s="27" t="n">
        <f aca="false">AI6-AI7-AI8-AI9</f>
        <v>21267.5533333333</v>
      </c>
      <c r="AJ10" s="27" t="n">
        <f aca="false">AJ6-AJ7-AJ8-AJ9</f>
        <v>21267.5533333333</v>
      </c>
      <c r="AK10" s="27" t="n">
        <f aca="false">AK6-AK7-AK8-AK9</f>
        <v>21267.5533333333</v>
      </c>
      <c r="AL10" s="27" t="n">
        <f aca="false">AL6-AL7-AL8-AL9</f>
        <v>21267.5533333333</v>
      </c>
    </row>
    <row r="11" customFormat="false" ht="15" hidden="false" customHeight="false" outlineLevel="0" collapsed="false">
      <c r="A11" s="2" t="s">
        <v>210</v>
      </c>
      <c r="B11" s="25" t="n">
        <f aca="false">'Unit Economics'!$B$69</f>
        <v>232000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0</v>
      </c>
      <c r="U11" s="25" t="n">
        <v>0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0</v>
      </c>
      <c r="AE11" s="25" t="n">
        <v>0</v>
      </c>
      <c r="AF11" s="25" t="n">
        <v>0</v>
      </c>
      <c r="AG11" s="25" t="n">
        <v>0</v>
      </c>
      <c r="AH11" s="25" t="n">
        <v>0</v>
      </c>
      <c r="AI11" s="25" t="n">
        <v>0</v>
      </c>
      <c r="AJ11" s="25" t="n">
        <v>0</v>
      </c>
      <c r="AK11" s="25" t="n">
        <v>0</v>
      </c>
      <c r="AL11" s="25" t="n">
        <v>0</v>
      </c>
    </row>
    <row r="12" customFormat="false" ht="15" hidden="false" customHeight="false" outlineLevel="0" collapsed="false">
      <c r="A12" s="2" t="s">
        <v>211</v>
      </c>
      <c r="B12" s="25" t="n">
        <f aca="false">B10-B11-B15</f>
        <v>-278000</v>
      </c>
      <c r="C12" s="25" t="n">
        <f aca="false">C10-C11-C15</f>
        <v>-28015.89</v>
      </c>
      <c r="D12" s="25" t="n">
        <f aca="false">D10-D11-D15</f>
        <v>-23715.0389666667</v>
      </c>
      <c r="E12" s="25" t="n">
        <f aca="false">E10-E11-E15</f>
        <v>-19543.2134643333</v>
      </c>
      <c r="F12" s="25" t="n">
        <f aca="false">F10-F11-F15</f>
        <v>-15496.54272707</v>
      </c>
      <c r="G12" s="25" t="n">
        <f aca="false">G10-G11-G15</f>
        <v>-11571.2721119246</v>
      </c>
      <c r="H12" s="25" t="n">
        <f aca="false">H10-H11-H15</f>
        <v>-7763.7596152335</v>
      </c>
      <c r="I12" s="25" t="n">
        <f aca="false">I10-I11-I15</f>
        <v>-9715.47992500266</v>
      </c>
      <c r="J12" s="25" t="n">
        <f aca="false">J10-J11-J15</f>
        <v>-6868.32119391924</v>
      </c>
      <c r="K12" s="25" t="n">
        <f aca="false">K10-K11-K15</f>
        <v>-4106.57722476833</v>
      </c>
      <c r="L12" s="25" t="n">
        <f aca="false">L10-L11-L15</f>
        <v>-1427.68557469195</v>
      </c>
      <c r="M12" s="25" t="n">
        <f aca="false">M10-M11-M15</f>
        <v>1170.83932588214</v>
      </c>
      <c r="N12" s="25" t="n">
        <f aca="false">N10-N11-N15</f>
        <v>3691.40847943901</v>
      </c>
      <c r="O12" s="25" t="n">
        <f aca="false">O10-O11-O15</f>
        <v>6136.36055838917</v>
      </c>
      <c r="P12" s="25" t="n">
        <f aca="false">P10-P11-P15</f>
        <v>8507.96407497083</v>
      </c>
      <c r="Q12" s="25" t="n">
        <f aca="false">Q10-Q11-Q15</f>
        <v>9767.55333333334</v>
      </c>
      <c r="R12" s="25" t="n">
        <f aca="false">R10-R11-R15</f>
        <v>9767.55333333334</v>
      </c>
      <c r="S12" s="25" t="n">
        <f aca="false">S10-S11-S15</f>
        <v>9767.55333333334</v>
      </c>
      <c r="T12" s="25" t="n">
        <f aca="false">T10-T11-T15</f>
        <v>9767.55333333334</v>
      </c>
      <c r="U12" s="25" t="n">
        <f aca="false">U10-U11-U15</f>
        <v>9767.55333333334</v>
      </c>
      <c r="V12" s="25" t="n">
        <f aca="false">V10-V11-V15</f>
        <v>9767.55333333334</v>
      </c>
      <c r="W12" s="25" t="n">
        <f aca="false">W10-W11-W15</f>
        <v>9767.55333333334</v>
      </c>
      <c r="X12" s="25" t="n">
        <f aca="false">X10-X11-X15</f>
        <v>9767.55333333334</v>
      </c>
      <c r="Y12" s="25" t="n">
        <f aca="false">Y10-Y11-Y15</f>
        <v>9767.55333333334</v>
      </c>
      <c r="Z12" s="25" t="n">
        <f aca="false">Z10-Z11-Z15</f>
        <v>9767.55333333334</v>
      </c>
      <c r="AA12" s="25" t="n">
        <f aca="false">AA10-AA11-AA15</f>
        <v>9767.55333333334</v>
      </c>
      <c r="AB12" s="25" t="n">
        <f aca="false">AB10-AB11-AB15</f>
        <v>9767.55333333334</v>
      </c>
      <c r="AC12" s="25" t="n">
        <f aca="false">AC10-AC11-AC15</f>
        <v>9767.55333333334</v>
      </c>
      <c r="AD12" s="25" t="n">
        <f aca="false">AD10-AD11-AD15</f>
        <v>9767.55333333334</v>
      </c>
      <c r="AE12" s="25" t="n">
        <f aca="false">AE10-AE11-AE15</f>
        <v>9767.55333333334</v>
      </c>
      <c r="AF12" s="25" t="n">
        <f aca="false">AF10-AF11-AF15</f>
        <v>9767.55333333334</v>
      </c>
      <c r="AG12" s="25" t="n">
        <f aca="false">AG10-AG11-AG15</f>
        <v>9767.55333333334</v>
      </c>
      <c r="AH12" s="25" t="n">
        <f aca="false">AH10-AH11-AH15</f>
        <v>9767.55333333334</v>
      </c>
      <c r="AI12" s="25" t="n">
        <f aca="false">AI10-AI11-AI15</f>
        <v>9767.55333333334</v>
      </c>
      <c r="AJ12" s="25" t="n">
        <f aca="false">AJ10-AJ11-AJ15</f>
        <v>9767.55333333334</v>
      </c>
      <c r="AK12" s="25" t="n">
        <f aca="false">AK10-AK11-AK15</f>
        <v>9767.55333333334</v>
      </c>
      <c r="AL12" s="25" t="n">
        <f aca="false">AL10-AL11-AL15</f>
        <v>9767.55333333334</v>
      </c>
    </row>
    <row r="13" customFormat="false" ht="15" hidden="false" customHeight="false" outlineLevel="0" collapsed="false">
      <c r="A13" s="3" t="s">
        <v>212</v>
      </c>
      <c r="B13" s="27" t="n">
        <f aca="false">B12</f>
        <v>-278000</v>
      </c>
      <c r="C13" s="27" t="n">
        <f aca="false">B13+C12</f>
        <v>-306015.89</v>
      </c>
      <c r="D13" s="27" t="n">
        <f aca="false">C13+D12</f>
        <v>-329730.928966667</v>
      </c>
      <c r="E13" s="27" t="n">
        <f aca="false">D13+E12</f>
        <v>-349274.142431</v>
      </c>
      <c r="F13" s="27" t="n">
        <f aca="false">E13+F12</f>
        <v>-364770.68515807</v>
      </c>
      <c r="G13" s="27" t="n">
        <f aca="false">F13+G12</f>
        <v>-376341.957269995</v>
      </c>
      <c r="H13" s="27" t="n">
        <f aca="false">G13+H12</f>
        <v>-384105.716885228</v>
      </c>
      <c r="I13" s="27" t="n">
        <f aca="false">H13+I12</f>
        <v>-393821.196810231</v>
      </c>
      <c r="J13" s="27" t="n">
        <f aca="false">I13+J12</f>
        <v>-400689.51800415</v>
      </c>
      <c r="K13" s="27" t="n">
        <f aca="false">J13+K12</f>
        <v>-404796.095228918</v>
      </c>
      <c r="L13" s="27" t="n">
        <f aca="false">K13+L12</f>
        <v>-406223.78080361</v>
      </c>
      <c r="M13" s="27" t="n">
        <f aca="false">L13+M12</f>
        <v>-405052.941477728</v>
      </c>
      <c r="N13" s="27" t="n">
        <f aca="false">M13+N12</f>
        <v>-401361.532998289</v>
      </c>
      <c r="O13" s="27" t="n">
        <f aca="false">N13+O12</f>
        <v>-395225.1724399</v>
      </c>
      <c r="P13" s="27" t="n">
        <f aca="false">O13+P12</f>
        <v>-386717.208364929</v>
      </c>
      <c r="Q13" s="27" t="n">
        <f aca="false">P13+Q12</f>
        <v>-376949.655031596</v>
      </c>
      <c r="R13" s="27" t="n">
        <f aca="false">Q13+R12</f>
        <v>-367182.101698262</v>
      </c>
      <c r="S13" s="27" t="n">
        <f aca="false">R13+S12</f>
        <v>-357414.548364929</v>
      </c>
      <c r="T13" s="27" t="n">
        <f aca="false">S13+T12</f>
        <v>-347646.995031596</v>
      </c>
      <c r="U13" s="27" t="n">
        <f aca="false">T13+U12</f>
        <v>-337879.441698262</v>
      </c>
      <c r="V13" s="27" t="n">
        <f aca="false">U13+V12</f>
        <v>-328111.888364929</v>
      </c>
      <c r="W13" s="27" t="n">
        <f aca="false">V13+W12</f>
        <v>-318344.335031596</v>
      </c>
      <c r="X13" s="27" t="n">
        <f aca="false">W13+X12</f>
        <v>-308576.781698262</v>
      </c>
      <c r="Y13" s="27" t="n">
        <f aca="false">X13+Y12</f>
        <v>-298809.228364929</v>
      </c>
      <c r="Z13" s="27" t="n">
        <f aca="false">Y13+Z12</f>
        <v>-289041.675031596</v>
      </c>
      <c r="AA13" s="27" t="n">
        <f aca="false">Z13+AA12</f>
        <v>-279274.121698262</v>
      </c>
      <c r="AB13" s="27" t="n">
        <f aca="false">AA13+AB12</f>
        <v>-269506.568364929</v>
      </c>
      <c r="AC13" s="27" t="n">
        <f aca="false">AB13+AC12</f>
        <v>-259739.015031596</v>
      </c>
      <c r="AD13" s="27" t="n">
        <f aca="false">AC13+AD12</f>
        <v>-249971.461698262</v>
      </c>
      <c r="AE13" s="27" t="n">
        <f aca="false">AD13+AE12</f>
        <v>-240203.908364929</v>
      </c>
      <c r="AF13" s="27" t="n">
        <f aca="false">AE13+AF12</f>
        <v>-230436.355031596</v>
      </c>
      <c r="AG13" s="27" t="n">
        <f aca="false">AF13+AG12</f>
        <v>-220668.801698262</v>
      </c>
      <c r="AH13" s="27" t="n">
        <f aca="false">AG13+AH12</f>
        <v>-210901.248364929</v>
      </c>
      <c r="AI13" s="27" t="n">
        <f aca="false">AH13+AI12</f>
        <v>-201133.695031596</v>
      </c>
      <c r="AJ13" s="27" t="n">
        <f aca="false">AI13+AJ12</f>
        <v>-191366.141698262</v>
      </c>
      <c r="AK13" s="27" t="n">
        <f aca="false">AJ13+AK12</f>
        <v>-181598.588364929</v>
      </c>
      <c r="AL13" s="27" t="n">
        <f aca="false">AK13+AL12</f>
        <v>-171831.035031596</v>
      </c>
    </row>
    <row r="14" customFormat="false" ht="15" hidden="false" customHeight="false" outlineLevel="0" collapsed="false">
      <c r="A14" s="2" t="s">
        <v>213</v>
      </c>
      <c r="B14" s="36"/>
      <c r="C14" s="36" t="str">
        <f aca="false">IF(AND(C13&gt;=0,B13&lt;0),C4,"")</f>
        <v/>
      </c>
      <c r="D14" s="36" t="str">
        <f aca="false">IF(AND(D13&gt;=0,C13&lt;0),D4,"")</f>
        <v/>
      </c>
      <c r="E14" s="36" t="str">
        <f aca="false">IF(AND(E13&gt;=0,D13&lt;0),E4,"")</f>
        <v/>
      </c>
      <c r="F14" s="36" t="str">
        <f aca="false">IF(AND(F13&gt;=0,E13&lt;0),F4,"")</f>
        <v/>
      </c>
      <c r="G14" s="36" t="str">
        <f aca="false">IF(AND(G13&gt;=0,F13&lt;0),G4,"")</f>
        <v/>
      </c>
      <c r="H14" s="36" t="str">
        <f aca="false">IF(AND(H13&gt;=0,G13&lt;0),H4,"")</f>
        <v/>
      </c>
      <c r="I14" s="36" t="str">
        <f aca="false">IF(AND(I13&gt;=0,H13&lt;0),I4,"")</f>
        <v/>
      </c>
      <c r="J14" s="36" t="str">
        <f aca="false">IF(AND(J13&gt;=0,I13&lt;0),J4,"")</f>
        <v/>
      </c>
      <c r="K14" s="36" t="str">
        <f aca="false">IF(AND(K13&gt;=0,J13&lt;0),K4,"")</f>
        <v/>
      </c>
      <c r="L14" s="36" t="str">
        <f aca="false">IF(AND(L13&gt;=0,K13&lt;0),L4,"")</f>
        <v/>
      </c>
      <c r="M14" s="36" t="str">
        <f aca="false">IF(AND(M13&gt;=0,L13&lt;0),M4,"")</f>
        <v/>
      </c>
      <c r="N14" s="36" t="str">
        <f aca="false">IF(AND(N13&gt;=0,M13&lt;0),N4,"")</f>
        <v/>
      </c>
      <c r="O14" s="36" t="str">
        <f aca="false">IF(AND(O13&gt;=0,N13&lt;0),O4,"")</f>
        <v/>
      </c>
      <c r="P14" s="36" t="str">
        <f aca="false">IF(AND(P13&gt;=0,O13&lt;0),P4,"")</f>
        <v/>
      </c>
      <c r="Q14" s="36" t="str">
        <f aca="false">IF(AND(Q13&gt;=0,P13&lt;0),Q4,"")</f>
        <v/>
      </c>
      <c r="R14" s="36" t="str">
        <f aca="false">IF(AND(R13&gt;=0,Q13&lt;0),R4,"")</f>
        <v/>
      </c>
      <c r="S14" s="36" t="str">
        <f aca="false">IF(AND(S13&gt;=0,R13&lt;0),S4,"")</f>
        <v/>
      </c>
      <c r="T14" s="36" t="str">
        <f aca="false">IF(AND(T13&gt;=0,S13&lt;0),T4,"")</f>
        <v/>
      </c>
      <c r="U14" s="36" t="str">
        <f aca="false">IF(AND(U13&gt;=0,T13&lt;0),U4,"")</f>
        <v/>
      </c>
      <c r="V14" s="36" t="str">
        <f aca="false">IF(AND(V13&gt;=0,U13&lt;0),V4,"")</f>
        <v/>
      </c>
      <c r="W14" s="36" t="str">
        <f aca="false">IF(AND(W13&gt;=0,V13&lt;0),W4,"")</f>
        <v/>
      </c>
      <c r="X14" s="36" t="str">
        <f aca="false">IF(AND(X13&gt;=0,W13&lt;0),X4,"")</f>
        <v/>
      </c>
      <c r="Y14" s="36" t="str">
        <f aca="false">IF(AND(Y13&gt;=0,X13&lt;0),Y4,"")</f>
        <v/>
      </c>
      <c r="Z14" s="36" t="str">
        <f aca="false">IF(AND(Z13&gt;=0,Y13&lt;0),Z4,"")</f>
        <v/>
      </c>
      <c r="AA14" s="36" t="str">
        <f aca="false">IF(AND(AA13&gt;=0,Z13&lt;0),AA4,"")</f>
        <v/>
      </c>
      <c r="AB14" s="36" t="str">
        <f aca="false">IF(AND(AB13&gt;=0,AA13&lt;0),AB4,"")</f>
        <v/>
      </c>
      <c r="AC14" s="36" t="str">
        <f aca="false">IF(AND(AC13&gt;=0,AB13&lt;0),AC4,"")</f>
        <v/>
      </c>
      <c r="AD14" s="36" t="str">
        <f aca="false">IF(AND(AD13&gt;=0,AC13&lt;0),AD4,"")</f>
        <v/>
      </c>
      <c r="AE14" s="36" t="str">
        <f aca="false">IF(AND(AE13&gt;=0,AD13&lt;0),AE4,"")</f>
        <v/>
      </c>
      <c r="AF14" s="36" t="str">
        <f aca="false">IF(AND(AF13&gt;=0,AE13&lt;0),AF4,"")</f>
        <v/>
      </c>
      <c r="AG14" s="36" t="str">
        <f aca="false">IF(AND(AG13&gt;=0,AF13&lt;0),AG4,"")</f>
        <v/>
      </c>
      <c r="AH14" s="36" t="str">
        <f aca="false">IF(AND(AH13&gt;=0,AG13&lt;0),AH4,"")</f>
        <v/>
      </c>
      <c r="AI14" s="36" t="str">
        <f aca="false">IF(AND(AI13&gt;=0,AH13&lt;0),AI4,"")</f>
        <v/>
      </c>
      <c r="AJ14" s="36" t="str">
        <f aca="false">IF(AND(AJ13&gt;=0,AI13&lt;0),AJ4,"")</f>
        <v/>
      </c>
      <c r="AK14" s="36" t="str">
        <f aca="false">IF(AND(AK13&gt;=0,AJ13&lt;0),AK4,"")</f>
        <v/>
      </c>
      <c r="AL14" s="36" t="str">
        <f aca="false">IF(AND(AL13&gt;=0,AK13&lt;0),AL4,"")</f>
        <v/>
      </c>
    </row>
    <row r="15" customFormat="false" ht="15" hidden="false" customHeight="false" outlineLevel="0" collapsed="false">
      <c r="A15" s="2" t="s">
        <v>214</v>
      </c>
      <c r="B15" s="25" t="n">
        <f aca="false">Inputs!$B$59*'Unit Economics'!$B$37</f>
        <v>46000</v>
      </c>
      <c r="C15" s="25" t="n">
        <f aca="false">'Unit Economics'!$B$37</f>
        <v>11500</v>
      </c>
      <c r="D15" s="25" t="n">
        <f aca="false">'Unit Economics'!$B$37</f>
        <v>11500</v>
      </c>
      <c r="E15" s="25" t="n">
        <f aca="false">'Unit Economics'!$B$37</f>
        <v>11500</v>
      </c>
      <c r="F15" s="25" t="n">
        <f aca="false">'Unit Economics'!$B$37</f>
        <v>11500</v>
      </c>
      <c r="G15" s="25" t="n">
        <f aca="false">'Unit Economics'!$B$37</f>
        <v>11500</v>
      </c>
      <c r="H15" s="25" t="n">
        <f aca="false">'Unit Economics'!$B$37</f>
        <v>11500</v>
      </c>
      <c r="I15" s="25" t="n">
        <f aca="false">'Unit Economics'!$B$37</f>
        <v>11500</v>
      </c>
      <c r="J15" s="25" t="n">
        <f aca="false">'Unit Economics'!$B$37</f>
        <v>11500</v>
      </c>
      <c r="K15" s="25" t="n">
        <f aca="false">'Unit Economics'!$B$37</f>
        <v>11500</v>
      </c>
      <c r="L15" s="25" t="n">
        <f aca="false">'Unit Economics'!$B$37</f>
        <v>11500</v>
      </c>
      <c r="M15" s="25" t="n">
        <f aca="false">'Unit Economics'!$B$37</f>
        <v>11500</v>
      </c>
      <c r="N15" s="25" t="n">
        <f aca="false">'Unit Economics'!$B$37</f>
        <v>11500</v>
      </c>
      <c r="O15" s="25" t="n">
        <f aca="false">'Unit Economics'!$B$37</f>
        <v>11500</v>
      </c>
      <c r="P15" s="25" t="n">
        <f aca="false">'Unit Economics'!$B$37</f>
        <v>11500</v>
      </c>
      <c r="Q15" s="25" t="n">
        <f aca="false">'Unit Economics'!$B$37</f>
        <v>11500</v>
      </c>
      <c r="R15" s="25" t="n">
        <f aca="false">'Unit Economics'!$B$37</f>
        <v>11500</v>
      </c>
      <c r="S15" s="25" t="n">
        <f aca="false">'Unit Economics'!$B$37</f>
        <v>11500</v>
      </c>
      <c r="T15" s="25" t="n">
        <f aca="false">'Unit Economics'!$B$37</f>
        <v>11500</v>
      </c>
      <c r="U15" s="25" t="n">
        <f aca="false">'Unit Economics'!$B$37</f>
        <v>11500</v>
      </c>
      <c r="V15" s="25" t="n">
        <f aca="false">'Unit Economics'!$B$37</f>
        <v>11500</v>
      </c>
      <c r="W15" s="25" t="n">
        <f aca="false">'Unit Economics'!$B$37</f>
        <v>11500</v>
      </c>
      <c r="X15" s="25" t="n">
        <f aca="false">'Unit Economics'!$B$37</f>
        <v>11500</v>
      </c>
      <c r="Y15" s="25" t="n">
        <f aca="false">'Unit Economics'!$B$37</f>
        <v>11500</v>
      </c>
      <c r="Z15" s="25" t="n">
        <f aca="false">'Unit Economics'!$B$37</f>
        <v>11500</v>
      </c>
      <c r="AA15" s="25" t="n">
        <f aca="false">'Unit Economics'!$B$37</f>
        <v>11500</v>
      </c>
      <c r="AB15" s="25" t="n">
        <f aca="false">'Unit Economics'!$B$37</f>
        <v>11500</v>
      </c>
      <c r="AC15" s="25" t="n">
        <f aca="false">'Unit Economics'!$B$37</f>
        <v>11500</v>
      </c>
      <c r="AD15" s="25" t="n">
        <f aca="false">'Unit Economics'!$B$37</f>
        <v>11500</v>
      </c>
      <c r="AE15" s="25" t="n">
        <f aca="false">'Unit Economics'!$B$37</f>
        <v>11500</v>
      </c>
      <c r="AF15" s="25" t="n">
        <f aca="false">'Unit Economics'!$B$37</f>
        <v>11500</v>
      </c>
      <c r="AG15" s="25" t="n">
        <f aca="false">'Unit Economics'!$B$37</f>
        <v>11500</v>
      </c>
      <c r="AH15" s="25" t="n">
        <f aca="false">'Unit Economics'!$B$37</f>
        <v>11500</v>
      </c>
      <c r="AI15" s="25" t="n">
        <f aca="false">'Unit Economics'!$B$37</f>
        <v>11500</v>
      </c>
      <c r="AJ15" s="25" t="n">
        <f aca="false">'Unit Economics'!$B$37</f>
        <v>11500</v>
      </c>
      <c r="AK15" s="25" t="n">
        <f aca="false">'Unit Economics'!$B$37</f>
        <v>11500</v>
      </c>
      <c r="AL15" s="25" t="n">
        <f aca="false">'Unit Economics'!$B$37</f>
        <v>11500</v>
      </c>
    </row>
    <row r="16" customFormat="false" ht="15" hidden="false" customHeight="false" outlineLevel="0" collapsed="false">
      <c r="A16" s="3" t="s">
        <v>215</v>
      </c>
      <c r="B16" s="3" t="str">
        <f aca="false">IF(COUNT(C14:AL14)=0,"Beyond 36 months",MIN(C14:AL14))</f>
        <v>Beyond 36 months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customFormat="false" ht="15" hidden="false" customHeight="false" outlineLevel="0" collapsed="false">
      <c r="A17" s="3" t="s">
        <v>216</v>
      </c>
      <c r="B17" s="27" t="n">
        <f aca="false">MIN(B13:AL13)</f>
        <v>-406223.78080361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customFormat="false" ht="15" hidden="false" customHeight="false" outlineLevel="0" collapsed="false">
      <c r="A18" s="3" t="s">
        <v>217</v>
      </c>
      <c r="B18" s="27" t="n">
        <f aca="false">AL13</f>
        <v>-171831.035031596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218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11" t="s">
        <v>219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3" t="s">
        <v>220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221</v>
      </c>
      <c r="B5" s="37" t="n">
        <v>130</v>
      </c>
      <c r="C5" s="37" t="n">
        <v>150</v>
      </c>
      <c r="D5" s="37" t="n">
        <v>175</v>
      </c>
      <c r="E5" s="37" t="n">
        <v>195</v>
      </c>
      <c r="F5" s="37" t="n">
        <v>225</v>
      </c>
    </row>
    <row r="6" customFormat="false" ht="15" hidden="false" customHeight="false" outlineLevel="0" collapsed="false">
      <c r="A6" s="38" t="n">
        <v>250</v>
      </c>
      <c r="B6" s="25" t="n">
        <f aca="false">$A6*((1-Inputs!$B$19)*((B$5+Inputs!$B$11)*(1-Inputs!$B$12)-Inputs!$B$31*(Inputs!$B$32/Inputs!$B$40*Inputs!$B$38*(1+Inputs!$B$39)/60)-('Unit Economics'!$B$43+Inputs!$B$43))+Inputs!$B$19*'Unit Economics'!$B$45)-'Unit Economics'!$B$50</f>
        <v>-15310.8166666667</v>
      </c>
      <c r="C6" s="25" t="n">
        <f aca="false">$A6*((1-Inputs!$B$19)*((C$5+Inputs!$B$11)*(1-Inputs!$B$12)-Inputs!$B$31*(Inputs!$B$32/Inputs!$B$40*Inputs!$B$38*(1+Inputs!$B$39)/60)-('Unit Economics'!$B$43+Inputs!$B$43))+Inputs!$B$19*'Unit Economics'!$B$45)-'Unit Economics'!$B$50</f>
        <v>-12400.8166666667</v>
      </c>
      <c r="D6" s="25" t="n">
        <f aca="false">$A6*((1-Inputs!$B$19)*((D$5+Inputs!$B$11)*(1-Inputs!$B$12)-Inputs!$B$31*(Inputs!$B$32/Inputs!$B$40*Inputs!$B$38*(1+Inputs!$B$39)/60)-('Unit Economics'!$B$43+Inputs!$B$43))+Inputs!$B$19*'Unit Economics'!$B$45)-'Unit Economics'!$B$50</f>
        <v>-8763.31666666667</v>
      </c>
      <c r="E6" s="25" t="n">
        <f aca="false">$A6*((1-Inputs!$B$19)*((E$5+Inputs!$B$11)*(1-Inputs!$B$12)-Inputs!$B$31*(Inputs!$B$32/Inputs!$B$40*Inputs!$B$38*(1+Inputs!$B$39)/60)-('Unit Economics'!$B$43+Inputs!$B$43))+Inputs!$B$19*'Unit Economics'!$B$45)-'Unit Economics'!$B$50</f>
        <v>-5853.31666666666</v>
      </c>
      <c r="F6" s="25" t="n">
        <f aca="false">$A6*((1-Inputs!$B$19)*((F$5+Inputs!$B$11)*(1-Inputs!$B$12)-Inputs!$B$31*(Inputs!$B$32/Inputs!$B$40*Inputs!$B$38*(1+Inputs!$B$39)/60)-('Unit Economics'!$B$43+Inputs!$B$43))+Inputs!$B$19*'Unit Economics'!$B$45)-'Unit Economics'!$B$50</f>
        <v>-1488.31666666667</v>
      </c>
    </row>
    <row r="7" customFormat="false" ht="15" hidden="false" customHeight="false" outlineLevel="0" collapsed="false">
      <c r="A7" s="38" t="n">
        <v>300</v>
      </c>
      <c r="B7" s="25" t="n">
        <f aca="false">$A7*((1-Inputs!$B$19)*((B$5+Inputs!$B$11)*(1-Inputs!$B$12)-Inputs!$B$31*(Inputs!$B$32/Inputs!$B$40*Inputs!$B$38*(1+Inputs!$B$39)/60)-('Unit Economics'!$B$43+Inputs!$B$43))+Inputs!$B$19*'Unit Economics'!$B$45)-'Unit Economics'!$B$50</f>
        <v>-9835.28</v>
      </c>
      <c r="C7" s="25" t="n">
        <f aca="false">$A7*((1-Inputs!$B$19)*((C$5+Inputs!$B$11)*(1-Inputs!$B$12)-Inputs!$B$31*(Inputs!$B$32/Inputs!$B$40*Inputs!$B$38*(1+Inputs!$B$39)/60)-('Unit Economics'!$B$43+Inputs!$B$43))+Inputs!$B$19*'Unit Economics'!$B$45)-'Unit Economics'!$B$50</f>
        <v>-6343.28</v>
      </c>
      <c r="D7" s="25" t="n">
        <f aca="false">$A7*((1-Inputs!$B$19)*((D$5+Inputs!$B$11)*(1-Inputs!$B$12)-Inputs!$B$31*(Inputs!$B$32/Inputs!$B$40*Inputs!$B$38*(1+Inputs!$B$39)/60)-('Unit Economics'!$B$43+Inputs!$B$43))+Inputs!$B$19*'Unit Economics'!$B$45)-'Unit Economics'!$B$50</f>
        <v>-1978.28000000001</v>
      </c>
      <c r="E7" s="25" t="n">
        <f aca="false">$A7*((1-Inputs!$B$19)*((E$5+Inputs!$B$11)*(1-Inputs!$B$12)-Inputs!$B$31*(Inputs!$B$32/Inputs!$B$40*Inputs!$B$38*(1+Inputs!$B$39)/60)-('Unit Economics'!$B$43+Inputs!$B$43))+Inputs!$B$19*'Unit Economics'!$B$45)-'Unit Economics'!$B$50</f>
        <v>1513.72000000001</v>
      </c>
      <c r="F7" s="25" t="n">
        <f aca="false">$A7*((1-Inputs!$B$19)*((F$5+Inputs!$B$11)*(1-Inputs!$B$12)-Inputs!$B$31*(Inputs!$B$32/Inputs!$B$40*Inputs!$B$38*(1+Inputs!$B$39)/60)-('Unit Economics'!$B$43+Inputs!$B$43))+Inputs!$B$19*'Unit Economics'!$B$45)-'Unit Economics'!$B$50</f>
        <v>6751.72</v>
      </c>
    </row>
    <row r="8" customFormat="false" ht="15" hidden="false" customHeight="false" outlineLevel="0" collapsed="false">
      <c r="A8" s="38" t="n">
        <v>350</v>
      </c>
      <c r="B8" s="25" t="n">
        <f aca="false">$A8*((1-Inputs!$B$19)*((B$5+Inputs!$B$11)*(1-Inputs!$B$12)-Inputs!$B$31*(Inputs!$B$32/Inputs!$B$40*Inputs!$B$38*(1+Inputs!$B$39)/60)-('Unit Economics'!$B$43+Inputs!$B$43))+Inputs!$B$19*'Unit Economics'!$B$45)-'Unit Economics'!$B$50</f>
        <v>-4359.74333333333</v>
      </c>
      <c r="C8" s="25" t="n">
        <f aca="false">$A8*((1-Inputs!$B$19)*((C$5+Inputs!$B$11)*(1-Inputs!$B$12)-Inputs!$B$31*(Inputs!$B$32/Inputs!$B$40*Inputs!$B$38*(1+Inputs!$B$39)/60)-('Unit Economics'!$B$43+Inputs!$B$43))+Inputs!$B$19*'Unit Economics'!$B$45)-'Unit Economics'!$B$50</f>
        <v>-285.743333333332</v>
      </c>
      <c r="D8" s="25" t="n">
        <f aca="false">$A8*((1-Inputs!$B$19)*((D$5+Inputs!$B$11)*(1-Inputs!$B$12)-Inputs!$B$31*(Inputs!$B$32/Inputs!$B$40*Inputs!$B$38*(1+Inputs!$B$39)/60)-('Unit Economics'!$B$43+Inputs!$B$43))+Inputs!$B$19*'Unit Economics'!$B$45)-'Unit Economics'!$B$50</f>
        <v>4806.75666666666</v>
      </c>
      <c r="E8" s="25" t="n">
        <f aca="false">$A8*((1-Inputs!$B$19)*((E$5+Inputs!$B$11)*(1-Inputs!$B$12)-Inputs!$B$31*(Inputs!$B$32/Inputs!$B$40*Inputs!$B$38*(1+Inputs!$B$39)/60)-('Unit Economics'!$B$43+Inputs!$B$43))+Inputs!$B$19*'Unit Economics'!$B$45)-'Unit Economics'!$B$50</f>
        <v>8880.75666666668</v>
      </c>
      <c r="F8" s="25" t="n">
        <f aca="false">$A8*((1-Inputs!$B$19)*((F$5+Inputs!$B$11)*(1-Inputs!$B$12)-Inputs!$B$31*(Inputs!$B$32/Inputs!$B$40*Inputs!$B$38*(1+Inputs!$B$39)/60)-('Unit Economics'!$B$43+Inputs!$B$43))+Inputs!$B$19*'Unit Economics'!$B$45)-'Unit Economics'!$B$50</f>
        <v>14991.7566666667</v>
      </c>
    </row>
    <row r="9" customFormat="false" ht="15" hidden="false" customHeight="false" outlineLevel="0" collapsed="false">
      <c r="A9" s="38" t="n">
        <v>400</v>
      </c>
      <c r="B9" s="25" t="n">
        <f aca="false">$A9*((1-Inputs!$B$19)*((B$5+Inputs!$B$11)*(1-Inputs!$B$12)-Inputs!$B$31*(Inputs!$B$32/Inputs!$B$40*Inputs!$B$38*(1+Inputs!$B$39)/60)-('Unit Economics'!$B$43+Inputs!$B$43))+Inputs!$B$19*'Unit Economics'!$B$45)-'Unit Economics'!$B$50</f>
        <v>1115.79333333334</v>
      </c>
      <c r="C9" s="25" t="n">
        <f aca="false">$A9*((1-Inputs!$B$19)*((C$5+Inputs!$B$11)*(1-Inputs!$B$12)-Inputs!$B$31*(Inputs!$B$32/Inputs!$B$40*Inputs!$B$38*(1+Inputs!$B$39)/60)-('Unit Economics'!$B$43+Inputs!$B$43))+Inputs!$B$19*'Unit Economics'!$B$45)-'Unit Economics'!$B$50</f>
        <v>5771.79333333334</v>
      </c>
      <c r="D9" s="25" t="n">
        <f aca="false">$A9*((1-Inputs!$B$19)*((D$5+Inputs!$B$11)*(1-Inputs!$B$12)-Inputs!$B$31*(Inputs!$B$32/Inputs!$B$40*Inputs!$B$38*(1+Inputs!$B$39)/60)-('Unit Economics'!$B$43+Inputs!$B$43))+Inputs!$B$19*'Unit Economics'!$B$45)-'Unit Economics'!$B$50</f>
        <v>11591.7933333333</v>
      </c>
      <c r="E9" s="25" t="n">
        <f aca="false">$A9*((1-Inputs!$B$19)*((E$5+Inputs!$B$11)*(1-Inputs!$B$12)-Inputs!$B$31*(Inputs!$B$32/Inputs!$B$40*Inputs!$B$38*(1+Inputs!$B$39)/60)-('Unit Economics'!$B$43+Inputs!$B$43))+Inputs!$B$19*'Unit Economics'!$B$45)-'Unit Economics'!$B$50</f>
        <v>16247.7933333333</v>
      </c>
      <c r="F9" s="25" t="n">
        <f aca="false">$A9*((1-Inputs!$B$19)*((F$5+Inputs!$B$11)*(1-Inputs!$B$12)-Inputs!$B$31*(Inputs!$B$32/Inputs!$B$40*Inputs!$B$38*(1+Inputs!$B$39)/60)-('Unit Economics'!$B$43+Inputs!$B$43))+Inputs!$B$19*'Unit Economics'!$B$45)-'Unit Economics'!$B$50</f>
        <v>23231.7933333333</v>
      </c>
    </row>
    <row r="10" customFormat="false" ht="15" hidden="false" customHeight="false" outlineLevel="0" collapsed="false">
      <c r="A10" s="38" t="n">
        <v>450</v>
      </c>
      <c r="B10" s="25" t="n">
        <f aca="false">$A10*((1-Inputs!$B$19)*((B$5+Inputs!$B$11)*(1-Inputs!$B$12)-Inputs!$B$31*(Inputs!$B$32/Inputs!$B$40*Inputs!$B$38*(1+Inputs!$B$39)/60)-('Unit Economics'!$B$43+Inputs!$B$43))+Inputs!$B$19*'Unit Economics'!$B$45)-'Unit Economics'!$B$50</f>
        <v>6591.33000000001</v>
      </c>
      <c r="C10" s="25" t="n">
        <f aca="false">$A10*((1-Inputs!$B$19)*((C$5+Inputs!$B$11)*(1-Inputs!$B$12)-Inputs!$B$31*(Inputs!$B$32/Inputs!$B$40*Inputs!$B$38*(1+Inputs!$B$39)/60)-('Unit Economics'!$B$43+Inputs!$B$43))+Inputs!$B$19*'Unit Economics'!$B$45)-'Unit Economics'!$B$50</f>
        <v>11829.33</v>
      </c>
      <c r="D10" s="25" t="n">
        <f aca="false">$A10*((1-Inputs!$B$19)*((D$5+Inputs!$B$11)*(1-Inputs!$B$12)-Inputs!$B$31*(Inputs!$B$32/Inputs!$B$40*Inputs!$B$38*(1+Inputs!$B$39)/60)-('Unit Economics'!$B$43+Inputs!$B$43))+Inputs!$B$19*'Unit Economics'!$B$45)-'Unit Economics'!$B$50</f>
        <v>18376.83</v>
      </c>
      <c r="E10" s="25" t="n">
        <f aca="false">$A10*((1-Inputs!$B$19)*((E$5+Inputs!$B$11)*(1-Inputs!$B$12)-Inputs!$B$31*(Inputs!$B$32/Inputs!$B$40*Inputs!$B$38*(1+Inputs!$B$39)/60)-('Unit Economics'!$B$43+Inputs!$B$43))+Inputs!$B$19*'Unit Economics'!$B$45)-'Unit Economics'!$B$50</f>
        <v>23614.83</v>
      </c>
      <c r="F10" s="25" t="n">
        <f aca="false">$A10*((1-Inputs!$B$19)*((F$5+Inputs!$B$11)*(1-Inputs!$B$12)-Inputs!$B$31*(Inputs!$B$32/Inputs!$B$40*Inputs!$B$38*(1+Inputs!$B$39)/60)-('Unit Economics'!$B$43+Inputs!$B$43))+Inputs!$B$19*'Unit Economics'!$B$45)-'Unit Economics'!$B$50</f>
        <v>31471.83</v>
      </c>
    </row>
    <row r="11" customFormat="false" ht="15" hidden="false" customHeight="false" outlineLevel="0" collapsed="false">
      <c r="A11" s="38" t="n">
        <v>500</v>
      </c>
      <c r="B11" s="25" t="n">
        <f aca="false">$A11*((1-Inputs!$B$19)*((B$5+Inputs!$B$11)*(1-Inputs!$B$12)-Inputs!$B$31*(Inputs!$B$32/Inputs!$B$40*Inputs!$B$38*(1+Inputs!$B$39)/60)-('Unit Economics'!$B$43+Inputs!$B$43))+Inputs!$B$19*'Unit Economics'!$B$45)-'Unit Economics'!$B$50</f>
        <v>12066.8666666667</v>
      </c>
      <c r="C11" s="25" t="n">
        <f aca="false">$A11*((1-Inputs!$B$19)*((C$5+Inputs!$B$11)*(1-Inputs!$B$12)-Inputs!$B$31*(Inputs!$B$32/Inputs!$B$40*Inputs!$B$38*(1+Inputs!$B$39)/60)-('Unit Economics'!$B$43+Inputs!$B$43))+Inputs!$B$19*'Unit Economics'!$B$45)-'Unit Economics'!$B$50</f>
        <v>17886.8666666667</v>
      </c>
      <c r="D11" s="25" t="n">
        <f aca="false">$A11*((1-Inputs!$B$19)*((D$5+Inputs!$B$11)*(1-Inputs!$B$12)-Inputs!$B$31*(Inputs!$B$32/Inputs!$B$40*Inputs!$B$38*(1+Inputs!$B$39)/60)-('Unit Economics'!$B$43+Inputs!$B$43))+Inputs!$B$19*'Unit Economics'!$B$45)-'Unit Economics'!$B$50</f>
        <v>25161.8666666667</v>
      </c>
      <c r="E11" s="25" t="n">
        <f aca="false">$A11*((1-Inputs!$B$19)*((E$5+Inputs!$B$11)*(1-Inputs!$B$12)-Inputs!$B$31*(Inputs!$B$32/Inputs!$B$40*Inputs!$B$38*(1+Inputs!$B$39)/60)-('Unit Economics'!$B$43+Inputs!$B$43))+Inputs!$B$19*'Unit Economics'!$B$45)-'Unit Economics'!$B$50</f>
        <v>30981.8666666667</v>
      </c>
      <c r="F11" s="25" t="n">
        <f aca="false">$A11*((1-Inputs!$B$19)*((F$5+Inputs!$B$11)*(1-Inputs!$B$12)-Inputs!$B$31*(Inputs!$B$32/Inputs!$B$40*Inputs!$B$38*(1+Inputs!$B$39)/60)-('Unit Economics'!$B$43+Inputs!$B$43))+Inputs!$B$19*'Unit Economics'!$B$45)-'Unit Economics'!$B$50</f>
        <v>39711.8666666667</v>
      </c>
    </row>
    <row r="12" customFormat="false" ht="15" hidden="false" customHeight="false" outlineLevel="0" collapsed="false">
      <c r="A12" s="38" t="n">
        <v>550</v>
      </c>
      <c r="B12" s="25" t="n">
        <f aca="false">$A12*((1-Inputs!$B$19)*((B$5+Inputs!$B$11)*(1-Inputs!$B$12)-Inputs!$B$31*(Inputs!$B$32/Inputs!$B$40*Inputs!$B$38*(1+Inputs!$B$39)/60)-('Unit Economics'!$B$43+Inputs!$B$43))+Inputs!$B$19*'Unit Economics'!$B$45)-'Unit Economics'!$B$50</f>
        <v>17542.4033333333</v>
      </c>
      <c r="C12" s="25" t="n">
        <f aca="false">$A12*((1-Inputs!$B$19)*((C$5+Inputs!$B$11)*(1-Inputs!$B$12)-Inputs!$B$31*(Inputs!$B$32/Inputs!$B$40*Inputs!$B$38*(1+Inputs!$B$39)/60)-('Unit Economics'!$B$43+Inputs!$B$43))+Inputs!$B$19*'Unit Economics'!$B$45)-'Unit Economics'!$B$50</f>
        <v>23944.4033333333</v>
      </c>
      <c r="D12" s="25" t="n">
        <f aca="false">$A12*((1-Inputs!$B$19)*((D$5+Inputs!$B$11)*(1-Inputs!$B$12)-Inputs!$B$31*(Inputs!$B$32/Inputs!$B$40*Inputs!$B$38*(1+Inputs!$B$39)/60)-('Unit Economics'!$B$43+Inputs!$B$43))+Inputs!$B$19*'Unit Economics'!$B$45)-'Unit Economics'!$B$50</f>
        <v>31946.9033333333</v>
      </c>
      <c r="E12" s="25" t="n">
        <f aca="false">$A12*((1-Inputs!$B$19)*((E$5+Inputs!$B$11)*(1-Inputs!$B$12)-Inputs!$B$31*(Inputs!$B$32/Inputs!$B$40*Inputs!$B$38*(1+Inputs!$B$39)/60)-('Unit Economics'!$B$43+Inputs!$B$43))+Inputs!$B$19*'Unit Economics'!$B$45)-'Unit Economics'!$B$50</f>
        <v>38348.9033333334</v>
      </c>
      <c r="F12" s="25" t="n">
        <f aca="false">$A12*((1-Inputs!$B$19)*((F$5+Inputs!$B$11)*(1-Inputs!$B$12)-Inputs!$B$31*(Inputs!$B$32/Inputs!$B$40*Inputs!$B$38*(1+Inputs!$B$39)/60)-('Unit Economics'!$B$43+Inputs!$B$43))+Inputs!$B$19*'Unit Economics'!$B$45)-'Unit Economics'!$B$50</f>
        <v>47951.9033333333</v>
      </c>
    </row>
    <row r="13" customFormat="false" ht="15" hidden="false" customHeight="false" outlineLevel="0" collapsed="false">
      <c r="A13" s="38" t="n">
        <v>600</v>
      </c>
      <c r="B13" s="25" t="n">
        <f aca="false">$A13*((1-Inputs!$B$19)*((B$5+Inputs!$B$11)*(1-Inputs!$B$12)-Inputs!$B$31*(Inputs!$B$32/Inputs!$B$40*Inputs!$B$38*(1+Inputs!$B$39)/60)-('Unit Economics'!$B$43+Inputs!$B$43))+Inputs!$B$19*'Unit Economics'!$B$45)-'Unit Economics'!$B$50</f>
        <v>23017.94</v>
      </c>
      <c r="C13" s="25" t="n">
        <f aca="false">$A13*((1-Inputs!$B$19)*((C$5+Inputs!$B$11)*(1-Inputs!$B$12)-Inputs!$B$31*(Inputs!$B$32/Inputs!$B$40*Inputs!$B$38*(1+Inputs!$B$39)/60)-('Unit Economics'!$B$43+Inputs!$B$43))+Inputs!$B$19*'Unit Economics'!$B$45)-'Unit Economics'!$B$50</f>
        <v>30001.94</v>
      </c>
      <c r="D13" s="25" t="n">
        <f aca="false">$A13*((1-Inputs!$B$19)*((D$5+Inputs!$B$11)*(1-Inputs!$B$12)-Inputs!$B$31*(Inputs!$B$32/Inputs!$B$40*Inputs!$B$38*(1+Inputs!$B$39)/60)-('Unit Economics'!$B$43+Inputs!$B$43))+Inputs!$B$19*'Unit Economics'!$B$45)-'Unit Economics'!$B$50</f>
        <v>38731.94</v>
      </c>
      <c r="E13" s="25" t="n">
        <f aca="false">$A13*((1-Inputs!$B$19)*((E$5+Inputs!$B$11)*(1-Inputs!$B$12)-Inputs!$B$31*(Inputs!$B$32/Inputs!$B$40*Inputs!$B$38*(1+Inputs!$B$39)/60)-('Unit Economics'!$B$43+Inputs!$B$43))+Inputs!$B$19*'Unit Economics'!$B$45)-'Unit Economics'!$B$50</f>
        <v>45715.94</v>
      </c>
      <c r="F13" s="25" t="n">
        <f aca="false">$A13*((1-Inputs!$B$19)*((F$5+Inputs!$B$11)*(1-Inputs!$B$12)-Inputs!$B$31*(Inputs!$B$32/Inputs!$B$40*Inputs!$B$38*(1+Inputs!$B$39)/60)-('Unit Economics'!$B$43+Inputs!$B$43))+Inputs!$B$19*'Unit Economics'!$B$45)-'Unit Economics'!$B$50</f>
        <v>56191.94</v>
      </c>
    </row>
    <row r="14" customFormat="false" ht="15" hidden="false" customHeight="false" outlineLevel="0" collapsed="false">
      <c r="A14" s="38" t="n">
        <v>700</v>
      </c>
      <c r="B14" s="25" t="n">
        <f aca="false">$A14*((1-Inputs!$B$19)*((B$5+Inputs!$B$11)*(1-Inputs!$B$12)-Inputs!$B$31*(Inputs!$B$32/Inputs!$B$40*Inputs!$B$38*(1+Inputs!$B$39)/60)-('Unit Economics'!$B$43+Inputs!$B$43))+Inputs!$B$19*'Unit Economics'!$B$45)-'Unit Economics'!$B$50</f>
        <v>33969.0133333334</v>
      </c>
      <c r="C14" s="25" t="n">
        <f aca="false">$A14*((1-Inputs!$B$19)*((C$5+Inputs!$B$11)*(1-Inputs!$B$12)-Inputs!$B$31*(Inputs!$B$32/Inputs!$B$40*Inputs!$B$38*(1+Inputs!$B$39)/60)-('Unit Economics'!$B$43+Inputs!$B$43))+Inputs!$B$19*'Unit Economics'!$B$45)-'Unit Economics'!$B$50</f>
        <v>42117.0133333333</v>
      </c>
      <c r="D14" s="25" t="n">
        <f aca="false">$A14*((1-Inputs!$B$19)*((D$5+Inputs!$B$11)*(1-Inputs!$B$12)-Inputs!$B$31*(Inputs!$B$32/Inputs!$B$40*Inputs!$B$38*(1+Inputs!$B$39)/60)-('Unit Economics'!$B$43+Inputs!$B$43))+Inputs!$B$19*'Unit Economics'!$B$45)-'Unit Economics'!$B$50</f>
        <v>52302.0133333333</v>
      </c>
      <c r="E14" s="25" t="n">
        <f aca="false">$A14*((1-Inputs!$B$19)*((E$5+Inputs!$B$11)*(1-Inputs!$B$12)-Inputs!$B$31*(Inputs!$B$32/Inputs!$B$40*Inputs!$B$38*(1+Inputs!$B$39)/60)-('Unit Economics'!$B$43+Inputs!$B$43))+Inputs!$B$19*'Unit Economics'!$B$45)-'Unit Economics'!$B$50</f>
        <v>60450.0133333334</v>
      </c>
      <c r="F14" s="25" t="n">
        <f aca="false">$A14*((1-Inputs!$B$19)*((F$5+Inputs!$B$11)*(1-Inputs!$B$12)-Inputs!$B$31*(Inputs!$B$32/Inputs!$B$40*Inputs!$B$38*(1+Inputs!$B$39)/60)-('Unit Economics'!$B$43+Inputs!$B$43))+Inputs!$B$19*'Unit Economics'!$B$45)-'Unit Economics'!$B$50</f>
        <v>72672.0133333333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3" t="s">
        <v>222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7" t="s">
        <v>223</v>
      </c>
      <c r="B18" s="37" t="n">
        <v>130</v>
      </c>
      <c r="C18" s="37" t="n">
        <v>150</v>
      </c>
      <c r="D18" s="37" t="n">
        <v>175</v>
      </c>
      <c r="E18" s="37" t="n">
        <v>195</v>
      </c>
      <c r="F18" s="37" t="n">
        <v>225</v>
      </c>
    </row>
    <row r="19" customFormat="false" ht="15" hidden="false" customHeight="false" outlineLevel="0" collapsed="false">
      <c r="A19" s="39" t="n">
        <v>0</v>
      </c>
      <c r="B19" s="25" t="n">
        <f aca="false">Inputs!$B$13*((1-Inputs!$B$19)*((B$18+Inputs!$B$11)*(1-Inputs!$B$12)-$A19*(Inputs!$B$32/Inputs!$B$40*Inputs!$B$38*(1+Inputs!$B$39)/60)-('Unit Economics'!$B$43+Inputs!$B$43))+Inputs!$B$19*(Inputs!$B$20*(1-Inputs!$B$23)+Inputs!$B$21*(Inputs!$B$11*(1-Inputs!$B$12)-$A19*(Inputs!$B$32/Inputs!$B$40*Inputs!$B$38*(1+Inputs!$B$39)/60)-('Unit Economics'!$B$43+Inputs!$B$43))))-'Unit Economics'!$B$50</f>
        <v>27877.4533333333</v>
      </c>
      <c r="C19" s="25" t="n">
        <f aca="false">Inputs!$B$13*((1-Inputs!$B$19)*((C$18+Inputs!$B$11)*(1-Inputs!$B$12)-$A19*(Inputs!$B$32/Inputs!$B$40*Inputs!$B$38*(1+Inputs!$B$39)/60)-('Unit Economics'!$B$43+Inputs!$B$43))+Inputs!$B$19*(Inputs!$B$20*(1-Inputs!$B$23)+Inputs!$B$21*(Inputs!$B$11*(1-Inputs!$B$12)-$A19*(Inputs!$B$32/Inputs!$B$40*Inputs!$B$38*(1+Inputs!$B$39)/60)-('Unit Economics'!$B$43+Inputs!$B$43))))-'Unit Economics'!$B$50</f>
        <v>34279.4533333333</v>
      </c>
      <c r="D19" s="25" t="n">
        <f aca="false">Inputs!$B$13*((1-Inputs!$B$19)*((D$18+Inputs!$B$11)*(1-Inputs!$B$12)-$A19*(Inputs!$B$32/Inputs!$B$40*Inputs!$B$38*(1+Inputs!$B$39)/60)-('Unit Economics'!$B$43+Inputs!$B$43))+Inputs!$B$19*(Inputs!$B$20*(1-Inputs!$B$23)+Inputs!$B$21*(Inputs!$B$11*(1-Inputs!$B$12)-$A19*(Inputs!$B$32/Inputs!$B$40*Inputs!$B$38*(1+Inputs!$B$39)/60)-('Unit Economics'!$B$43+Inputs!$B$43))))-'Unit Economics'!$B$50</f>
        <v>42281.9533333333</v>
      </c>
      <c r="E19" s="25" t="n">
        <f aca="false">Inputs!$B$13*((1-Inputs!$B$19)*((E$18+Inputs!$B$11)*(1-Inputs!$B$12)-$A19*(Inputs!$B$32/Inputs!$B$40*Inputs!$B$38*(1+Inputs!$B$39)/60)-('Unit Economics'!$B$43+Inputs!$B$43))+Inputs!$B$19*(Inputs!$B$20*(1-Inputs!$B$23)+Inputs!$B$21*(Inputs!$B$11*(1-Inputs!$B$12)-$A19*(Inputs!$B$32/Inputs!$B$40*Inputs!$B$38*(1+Inputs!$B$39)/60)-('Unit Economics'!$B$43+Inputs!$B$43))))-'Unit Economics'!$B$50</f>
        <v>48683.9533333333</v>
      </c>
      <c r="F19" s="25" t="n">
        <f aca="false">Inputs!$B$13*((1-Inputs!$B$19)*((F$18+Inputs!$B$11)*(1-Inputs!$B$12)-$A19*(Inputs!$B$32/Inputs!$B$40*Inputs!$B$38*(1+Inputs!$B$39)/60)-('Unit Economics'!$B$43+Inputs!$B$43))+Inputs!$B$19*(Inputs!$B$20*(1-Inputs!$B$23)+Inputs!$B$21*(Inputs!$B$11*(1-Inputs!$B$12)-$A19*(Inputs!$B$32/Inputs!$B$40*Inputs!$B$38*(1+Inputs!$B$39)/60)-('Unit Economics'!$B$43+Inputs!$B$43))))-'Unit Economics'!$B$50</f>
        <v>58286.9533333333</v>
      </c>
    </row>
    <row r="20" customFormat="false" ht="15" hidden="false" customHeight="false" outlineLevel="0" collapsed="false">
      <c r="A20" s="39" t="n">
        <v>30</v>
      </c>
      <c r="B20" s="25" t="n">
        <f aca="false">Inputs!$B$13*((1-Inputs!$B$19)*((B$18+Inputs!$B$11)*(1-Inputs!$B$12)-$A20*(Inputs!$B$32/Inputs!$B$40*Inputs!$B$38*(1+Inputs!$B$39)/60)-('Unit Economics'!$B$43+Inputs!$B$43))+Inputs!$B$19*(Inputs!$B$20*(1-Inputs!$B$23)+Inputs!$B$21*(Inputs!$B$11*(1-Inputs!$B$12)-$A20*(Inputs!$B$32/Inputs!$B$40*Inputs!$B$38*(1+Inputs!$B$39)/60)-('Unit Economics'!$B$43+Inputs!$B$43))))-'Unit Economics'!$B$50</f>
        <v>17542.4033333333</v>
      </c>
      <c r="C20" s="25" t="n">
        <f aca="false">Inputs!$B$13*((1-Inputs!$B$19)*((C$18+Inputs!$B$11)*(1-Inputs!$B$12)-$A20*(Inputs!$B$32/Inputs!$B$40*Inputs!$B$38*(1+Inputs!$B$39)/60)-('Unit Economics'!$B$43+Inputs!$B$43))+Inputs!$B$19*(Inputs!$B$20*(1-Inputs!$B$23)+Inputs!$B$21*(Inputs!$B$11*(1-Inputs!$B$12)-$A20*(Inputs!$B$32/Inputs!$B$40*Inputs!$B$38*(1+Inputs!$B$39)/60)-('Unit Economics'!$B$43+Inputs!$B$43))))-'Unit Economics'!$B$50</f>
        <v>23944.4033333333</v>
      </c>
      <c r="D20" s="25" t="n">
        <f aca="false">Inputs!$B$13*((1-Inputs!$B$19)*((D$18+Inputs!$B$11)*(1-Inputs!$B$12)-$A20*(Inputs!$B$32/Inputs!$B$40*Inputs!$B$38*(1+Inputs!$B$39)/60)-('Unit Economics'!$B$43+Inputs!$B$43))+Inputs!$B$19*(Inputs!$B$20*(1-Inputs!$B$23)+Inputs!$B$21*(Inputs!$B$11*(1-Inputs!$B$12)-$A20*(Inputs!$B$32/Inputs!$B$40*Inputs!$B$38*(1+Inputs!$B$39)/60)-('Unit Economics'!$B$43+Inputs!$B$43))))-'Unit Economics'!$B$50</f>
        <v>31946.9033333333</v>
      </c>
      <c r="E20" s="25" t="n">
        <f aca="false">Inputs!$B$13*((1-Inputs!$B$19)*((E$18+Inputs!$B$11)*(1-Inputs!$B$12)-$A20*(Inputs!$B$32/Inputs!$B$40*Inputs!$B$38*(1+Inputs!$B$39)/60)-('Unit Economics'!$B$43+Inputs!$B$43))+Inputs!$B$19*(Inputs!$B$20*(1-Inputs!$B$23)+Inputs!$B$21*(Inputs!$B$11*(1-Inputs!$B$12)-$A20*(Inputs!$B$32/Inputs!$B$40*Inputs!$B$38*(1+Inputs!$B$39)/60)-('Unit Economics'!$B$43+Inputs!$B$43))))-'Unit Economics'!$B$50</f>
        <v>38348.9033333334</v>
      </c>
      <c r="F20" s="25" t="n">
        <f aca="false">Inputs!$B$13*((1-Inputs!$B$19)*((F$18+Inputs!$B$11)*(1-Inputs!$B$12)-$A20*(Inputs!$B$32/Inputs!$B$40*Inputs!$B$38*(1+Inputs!$B$39)/60)-('Unit Economics'!$B$43+Inputs!$B$43))+Inputs!$B$19*(Inputs!$B$20*(1-Inputs!$B$23)+Inputs!$B$21*(Inputs!$B$11*(1-Inputs!$B$12)-$A20*(Inputs!$B$32/Inputs!$B$40*Inputs!$B$38*(1+Inputs!$B$39)/60)-('Unit Economics'!$B$43+Inputs!$B$43))))-'Unit Economics'!$B$50</f>
        <v>47951.9033333333</v>
      </c>
    </row>
    <row r="21" customFormat="false" ht="15" hidden="false" customHeight="false" outlineLevel="0" collapsed="false">
      <c r="A21" s="39" t="n">
        <v>45</v>
      </c>
      <c r="B21" s="25" t="n">
        <f aca="false">Inputs!$B$13*((1-Inputs!$B$19)*((B$18+Inputs!$B$11)*(1-Inputs!$B$12)-$A21*(Inputs!$B$32/Inputs!$B$40*Inputs!$B$38*(1+Inputs!$B$39)/60)-('Unit Economics'!$B$43+Inputs!$B$43))+Inputs!$B$19*(Inputs!$B$20*(1-Inputs!$B$23)+Inputs!$B$21*(Inputs!$B$11*(1-Inputs!$B$12)-$A21*(Inputs!$B$32/Inputs!$B$40*Inputs!$B$38*(1+Inputs!$B$39)/60)-('Unit Economics'!$B$43+Inputs!$B$43))))-'Unit Economics'!$B$50</f>
        <v>12374.8783333333</v>
      </c>
      <c r="C21" s="25" t="n">
        <f aca="false">Inputs!$B$13*((1-Inputs!$B$19)*((C$18+Inputs!$B$11)*(1-Inputs!$B$12)-$A21*(Inputs!$B$32/Inputs!$B$40*Inputs!$B$38*(1+Inputs!$B$39)/60)-('Unit Economics'!$B$43+Inputs!$B$43))+Inputs!$B$19*(Inputs!$B$20*(1-Inputs!$B$23)+Inputs!$B$21*(Inputs!$B$11*(1-Inputs!$B$12)-$A21*(Inputs!$B$32/Inputs!$B$40*Inputs!$B$38*(1+Inputs!$B$39)/60)-('Unit Economics'!$B$43+Inputs!$B$43))))-'Unit Economics'!$B$50</f>
        <v>18776.8783333333</v>
      </c>
      <c r="D21" s="25" t="n">
        <f aca="false">Inputs!$B$13*((1-Inputs!$B$19)*((D$18+Inputs!$B$11)*(1-Inputs!$B$12)-$A21*(Inputs!$B$32/Inputs!$B$40*Inputs!$B$38*(1+Inputs!$B$39)/60)-('Unit Economics'!$B$43+Inputs!$B$43))+Inputs!$B$19*(Inputs!$B$20*(1-Inputs!$B$23)+Inputs!$B$21*(Inputs!$B$11*(1-Inputs!$B$12)-$A21*(Inputs!$B$32/Inputs!$B$40*Inputs!$B$38*(1+Inputs!$B$39)/60)-('Unit Economics'!$B$43+Inputs!$B$43))))-'Unit Economics'!$B$50</f>
        <v>26779.3783333333</v>
      </c>
      <c r="E21" s="25" t="n">
        <f aca="false">Inputs!$B$13*((1-Inputs!$B$19)*((E$18+Inputs!$B$11)*(1-Inputs!$B$12)-$A21*(Inputs!$B$32/Inputs!$B$40*Inputs!$B$38*(1+Inputs!$B$39)/60)-('Unit Economics'!$B$43+Inputs!$B$43))+Inputs!$B$19*(Inputs!$B$20*(1-Inputs!$B$23)+Inputs!$B$21*(Inputs!$B$11*(1-Inputs!$B$12)-$A21*(Inputs!$B$32/Inputs!$B$40*Inputs!$B$38*(1+Inputs!$B$39)/60)-('Unit Economics'!$B$43+Inputs!$B$43))))-'Unit Economics'!$B$50</f>
        <v>33181.3783333333</v>
      </c>
      <c r="F21" s="25" t="n">
        <f aca="false">Inputs!$B$13*((1-Inputs!$B$19)*((F$18+Inputs!$B$11)*(1-Inputs!$B$12)-$A21*(Inputs!$B$32/Inputs!$B$40*Inputs!$B$38*(1+Inputs!$B$39)/60)-('Unit Economics'!$B$43+Inputs!$B$43))+Inputs!$B$19*(Inputs!$B$20*(1-Inputs!$B$23)+Inputs!$B$21*(Inputs!$B$11*(1-Inputs!$B$12)-$A21*(Inputs!$B$32/Inputs!$B$40*Inputs!$B$38*(1+Inputs!$B$39)/60)-('Unit Economics'!$B$43+Inputs!$B$43))))-'Unit Economics'!$B$50</f>
        <v>42784.3783333333</v>
      </c>
    </row>
    <row r="22" customFormat="false" ht="15" hidden="false" customHeight="false" outlineLevel="0" collapsed="false">
      <c r="A22" s="39" t="n">
        <v>60</v>
      </c>
      <c r="B22" s="25" t="n">
        <f aca="false">Inputs!$B$13*((1-Inputs!$B$19)*((B$18+Inputs!$B$11)*(1-Inputs!$B$12)-$A22*(Inputs!$B$32/Inputs!$B$40*Inputs!$B$38*(1+Inputs!$B$39)/60)-('Unit Economics'!$B$43+Inputs!$B$43))+Inputs!$B$19*(Inputs!$B$20*(1-Inputs!$B$23)+Inputs!$B$21*(Inputs!$B$11*(1-Inputs!$B$12)-$A22*(Inputs!$B$32/Inputs!$B$40*Inputs!$B$38*(1+Inputs!$B$39)/60)-('Unit Economics'!$B$43+Inputs!$B$43))))-'Unit Economics'!$B$50</f>
        <v>7207.35333333333</v>
      </c>
      <c r="C22" s="25" t="n">
        <f aca="false">Inputs!$B$13*((1-Inputs!$B$19)*((C$18+Inputs!$B$11)*(1-Inputs!$B$12)-$A22*(Inputs!$B$32/Inputs!$B$40*Inputs!$B$38*(1+Inputs!$B$39)/60)-('Unit Economics'!$B$43+Inputs!$B$43))+Inputs!$B$19*(Inputs!$B$20*(1-Inputs!$B$23)+Inputs!$B$21*(Inputs!$B$11*(1-Inputs!$B$12)-$A22*(Inputs!$B$32/Inputs!$B$40*Inputs!$B$38*(1+Inputs!$B$39)/60)-('Unit Economics'!$B$43+Inputs!$B$43))))-'Unit Economics'!$B$50</f>
        <v>13609.3533333333</v>
      </c>
      <c r="D22" s="25" t="n">
        <f aca="false">Inputs!$B$13*((1-Inputs!$B$19)*((D$18+Inputs!$B$11)*(1-Inputs!$B$12)-$A22*(Inputs!$B$32/Inputs!$B$40*Inputs!$B$38*(1+Inputs!$B$39)/60)-('Unit Economics'!$B$43+Inputs!$B$43))+Inputs!$B$19*(Inputs!$B$20*(1-Inputs!$B$23)+Inputs!$B$21*(Inputs!$B$11*(1-Inputs!$B$12)-$A22*(Inputs!$B$32/Inputs!$B$40*Inputs!$B$38*(1+Inputs!$B$39)/60)-('Unit Economics'!$B$43+Inputs!$B$43))))-'Unit Economics'!$B$50</f>
        <v>21611.8533333333</v>
      </c>
      <c r="E22" s="25" t="n">
        <f aca="false">Inputs!$B$13*((1-Inputs!$B$19)*((E$18+Inputs!$B$11)*(1-Inputs!$B$12)-$A22*(Inputs!$B$32/Inputs!$B$40*Inputs!$B$38*(1+Inputs!$B$39)/60)-('Unit Economics'!$B$43+Inputs!$B$43))+Inputs!$B$19*(Inputs!$B$20*(1-Inputs!$B$23)+Inputs!$B$21*(Inputs!$B$11*(1-Inputs!$B$12)-$A22*(Inputs!$B$32/Inputs!$B$40*Inputs!$B$38*(1+Inputs!$B$39)/60)-('Unit Economics'!$B$43+Inputs!$B$43))))-'Unit Economics'!$B$50</f>
        <v>28013.8533333333</v>
      </c>
      <c r="F22" s="25" t="n">
        <f aca="false">Inputs!$B$13*((1-Inputs!$B$19)*((F$18+Inputs!$B$11)*(1-Inputs!$B$12)-$A22*(Inputs!$B$32/Inputs!$B$40*Inputs!$B$38*(1+Inputs!$B$39)/60)-('Unit Economics'!$B$43+Inputs!$B$43))+Inputs!$B$19*(Inputs!$B$20*(1-Inputs!$B$23)+Inputs!$B$21*(Inputs!$B$11*(1-Inputs!$B$12)-$A22*(Inputs!$B$32/Inputs!$B$40*Inputs!$B$38*(1+Inputs!$B$39)/60)-('Unit Economics'!$B$43+Inputs!$B$43))))-'Unit Economics'!$B$50</f>
        <v>37616.8533333333</v>
      </c>
    </row>
    <row r="23" customFormat="false" ht="15" hidden="false" customHeight="false" outlineLevel="0" collapsed="false">
      <c r="A23" s="39" t="n">
        <v>90</v>
      </c>
      <c r="B23" s="25" t="n">
        <f aca="false">Inputs!$B$13*((1-Inputs!$B$19)*((B$18+Inputs!$B$11)*(1-Inputs!$B$12)-$A23*(Inputs!$B$32/Inputs!$B$40*Inputs!$B$38*(1+Inputs!$B$39)/60)-('Unit Economics'!$B$43+Inputs!$B$43))+Inputs!$B$19*(Inputs!$B$20*(1-Inputs!$B$23)+Inputs!$B$21*(Inputs!$B$11*(1-Inputs!$B$12)-$A23*(Inputs!$B$32/Inputs!$B$40*Inputs!$B$38*(1+Inputs!$B$39)/60)-('Unit Economics'!$B$43+Inputs!$B$43))))-'Unit Economics'!$B$50</f>
        <v>-3127.69666666666</v>
      </c>
      <c r="C23" s="25" t="n">
        <f aca="false">Inputs!$B$13*((1-Inputs!$B$19)*((C$18+Inputs!$B$11)*(1-Inputs!$B$12)-$A23*(Inputs!$B$32/Inputs!$B$40*Inputs!$B$38*(1+Inputs!$B$39)/60)-('Unit Economics'!$B$43+Inputs!$B$43))+Inputs!$B$19*(Inputs!$B$20*(1-Inputs!$B$23)+Inputs!$B$21*(Inputs!$B$11*(1-Inputs!$B$12)-$A23*(Inputs!$B$32/Inputs!$B$40*Inputs!$B$38*(1+Inputs!$B$39)/60)-('Unit Economics'!$B$43+Inputs!$B$43))))-'Unit Economics'!$B$50</f>
        <v>3274.30333333334</v>
      </c>
      <c r="D23" s="25" t="n">
        <f aca="false">Inputs!$B$13*((1-Inputs!$B$19)*((D$18+Inputs!$B$11)*(1-Inputs!$B$12)-$A23*(Inputs!$B$32/Inputs!$B$40*Inputs!$B$38*(1+Inputs!$B$39)/60)-('Unit Economics'!$B$43+Inputs!$B$43))+Inputs!$B$19*(Inputs!$B$20*(1-Inputs!$B$23)+Inputs!$B$21*(Inputs!$B$11*(1-Inputs!$B$12)-$A23*(Inputs!$B$32/Inputs!$B$40*Inputs!$B$38*(1+Inputs!$B$39)/60)-('Unit Economics'!$B$43+Inputs!$B$43))))-'Unit Economics'!$B$50</f>
        <v>11276.8033333333</v>
      </c>
      <c r="E23" s="25" t="n">
        <f aca="false">Inputs!$B$13*((1-Inputs!$B$19)*((E$18+Inputs!$B$11)*(1-Inputs!$B$12)-$A23*(Inputs!$B$32/Inputs!$B$40*Inputs!$B$38*(1+Inputs!$B$39)/60)-('Unit Economics'!$B$43+Inputs!$B$43))+Inputs!$B$19*(Inputs!$B$20*(1-Inputs!$B$23)+Inputs!$B$21*(Inputs!$B$11*(1-Inputs!$B$12)-$A23*(Inputs!$B$32/Inputs!$B$40*Inputs!$B$38*(1+Inputs!$B$39)/60)-('Unit Economics'!$B$43+Inputs!$B$43))))-'Unit Economics'!$B$50</f>
        <v>17678.8033333334</v>
      </c>
      <c r="F23" s="25" t="n">
        <f aca="false">Inputs!$B$13*((1-Inputs!$B$19)*((F$18+Inputs!$B$11)*(1-Inputs!$B$12)-$A23*(Inputs!$B$32/Inputs!$B$40*Inputs!$B$38*(1+Inputs!$B$39)/60)-('Unit Economics'!$B$43+Inputs!$B$43))+Inputs!$B$19*(Inputs!$B$20*(1-Inputs!$B$23)+Inputs!$B$21*(Inputs!$B$11*(1-Inputs!$B$12)-$A23*(Inputs!$B$32/Inputs!$B$40*Inputs!$B$38*(1+Inputs!$B$39)/60)-('Unit Economics'!$B$43+Inputs!$B$43))))-'Unit Economics'!$B$50</f>
        <v>27281.8033333333</v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</row>
    <row r="26" customFormat="false" ht="15" hidden="false" customHeight="false" outlineLevel="0" collapsed="false">
      <c r="A26" s="3" t="s">
        <v>224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7" t="s">
        <v>225</v>
      </c>
      <c r="B27" s="37" t="n">
        <v>100</v>
      </c>
      <c r="C27" s="37" t="n">
        <v>115</v>
      </c>
      <c r="D27" s="37" t="n">
        <v>125</v>
      </c>
      <c r="E27" s="37" t="n">
        <v>140</v>
      </c>
      <c r="F27" s="37" t="n">
        <v>150</v>
      </c>
    </row>
    <row r="28" customFormat="false" ht="15" hidden="false" customHeight="false" outlineLevel="0" collapsed="false">
      <c r="A28" s="40" t="n">
        <v>0</v>
      </c>
      <c r="B28" s="25" t="n">
        <f aca="false">Inputs!$B$13*((1-$A28)*'Unit Economics'!$B$44+$A28*(B$27*(1-Inputs!$B$23)+Inputs!$B$21*(Inputs!$B$11*(1-Inputs!$B$12)-'Unit Economics'!$B$42-'Unit Economics'!$B$43)))-'Unit Economics'!$B$50</f>
        <v>26752.6666666667</v>
      </c>
      <c r="C28" s="25" t="n">
        <f aca="false">Inputs!$B$13*((1-$A28)*'Unit Economics'!$B$44+$A28*(C$27*(1-Inputs!$B$23)+Inputs!$B$21*(Inputs!$B$11*(1-Inputs!$B$12)-'Unit Economics'!$B$42-'Unit Economics'!$B$43)))-'Unit Economics'!$B$50</f>
        <v>26752.6666666667</v>
      </c>
      <c r="D28" s="25" t="n">
        <f aca="false">Inputs!$B$13*((1-$A28)*'Unit Economics'!$B$44+$A28*(D$27*(1-Inputs!$B$23)+Inputs!$B$21*(Inputs!$B$11*(1-Inputs!$B$12)-'Unit Economics'!$B$42-'Unit Economics'!$B$43)))-'Unit Economics'!$B$50</f>
        <v>26752.6666666667</v>
      </c>
      <c r="E28" s="25" t="n">
        <f aca="false">Inputs!$B$13*((1-$A28)*'Unit Economics'!$B$44+$A28*(E$27*(1-Inputs!$B$23)+Inputs!$B$21*(Inputs!$B$11*(1-Inputs!$B$12)-'Unit Economics'!$B$42-'Unit Economics'!$B$43)))-'Unit Economics'!$B$50</f>
        <v>26752.6666666667</v>
      </c>
      <c r="F28" s="25" t="n">
        <f aca="false">Inputs!$B$13*((1-$A28)*'Unit Economics'!$B$44+$A28*(F$27*(1-Inputs!$B$23)+Inputs!$B$21*(Inputs!$B$11*(1-Inputs!$B$12)-'Unit Economics'!$B$42-'Unit Economics'!$B$43)))-'Unit Economics'!$B$50</f>
        <v>26752.6666666667</v>
      </c>
    </row>
    <row r="29" customFormat="false" ht="15" hidden="false" customHeight="false" outlineLevel="0" collapsed="false">
      <c r="A29" s="40" t="n">
        <v>0.2</v>
      </c>
      <c r="B29" s="25" t="n">
        <f aca="false">Inputs!$B$13*((1-$A29)*'Unit Economics'!$B$44+$A29*(B$27*(1-Inputs!$B$23)+Inputs!$B$21*(Inputs!$B$11*(1-Inputs!$B$12)-'Unit Economics'!$B$42-'Unit Economics'!$B$43)))-'Unit Economics'!$B$50</f>
        <v>21388.535</v>
      </c>
      <c r="C29" s="25" t="n">
        <f aca="false">Inputs!$B$13*((1-$A29)*'Unit Economics'!$B$44+$A29*(C$27*(1-Inputs!$B$23)+Inputs!$B$21*(Inputs!$B$11*(1-Inputs!$B$12)-'Unit Economics'!$B$42-'Unit Economics'!$B$43)))-'Unit Economics'!$B$50</f>
        <v>22873.535</v>
      </c>
      <c r="D29" s="25" t="n">
        <f aca="false">Inputs!$B$13*((1-$A29)*'Unit Economics'!$B$44+$A29*(D$27*(1-Inputs!$B$23)+Inputs!$B$21*(Inputs!$B$11*(1-Inputs!$B$12)-'Unit Economics'!$B$42-'Unit Economics'!$B$43)))-'Unit Economics'!$B$50</f>
        <v>23863.535</v>
      </c>
      <c r="E29" s="25" t="n">
        <f aca="false">Inputs!$B$13*((1-$A29)*'Unit Economics'!$B$44+$A29*(E$27*(1-Inputs!$B$23)+Inputs!$B$21*(Inputs!$B$11*(1-Inputs!$B$12)-'Unit Economics'!$B$42-'Unit Economics'!$B$43)))-'Unit Economics'!$B$50</f>
        <v>25348.535</v>
      </c>
      <c r="F29" s="25" t="n">
        <f aca="false">Inputs!$B$13*((1-$A29)*'Unit Economics'!$B$44+$A29*(F$27*(1-Inputs!$B$23)+Inputs!$B$21*(Inputs!$B$11*(1-Inputs!$B$12)-'Unit Economics'!$B$42-'Unit Economics'!$B$43)))-'Unit Economics'!$B$50</f>
        <v>26338.535</v>
      </c>
    </row>
    <row r="30" customFormat="false" ht="15" hidden="false" customHeight="false" outlineLevel="0" collapsed="false">
      <c r="A30" s="40" t="n">
        <v>0.4</v>
      </c>
      <c r="B30" s="25" t="n">
        <f aca="false">Inputs!$B$13*((1-$A30)*'Unit Economics'!$B$44+$A30*(B$27*(1-Inputs!$B$23)+Inputs!$B$21*(Inputs!$B$11*(1-Inputs!$B$12)-'Unit Economics'!$B$42-'Unit Economics'!$B$43)))-'Unit Economics'!$B$50</f>
        <v>16024.4033333333</v>
      </c>
      <c r="C30" s="25" t="n">
        <f aca="false">Inputs!$B$13*((1-$A30)*'Unit Economics'!$B$44+$A30*(C$27*(1-Inputs!$B$23)+Inputs!$B$21*(Inputs!$B$11*(1-Inputs!$B$12)-'Unit Economics'!$B$42-'Unit Economics'!$B$43)))-'Unit Economics'!$B$50</f>
        <v>18994.4033333333</v>
      </c>
      <c r="D30" s="25" t="n">
        <f aca="false">Inputs!$B$13*((1-$A30)*'Unit Economics'!$B$44+$A30*(D$27*(1-Inputs!$B$23)+Inputs!$B$21*(Inputs!$B$11*(1-Inputs!$B$12)-'Unit Economics'!$B$42-'Unit Economics'!$B$43)))-'Unit Economics'!$B$50</f>
        <v>20974.4033333333</v>
      </c>
      <c r="E30" s="25" t="n">
        <f aca="false">Inputs!$B$13*((1-$A30)*'Unit Economics'!$B$44+$A30*(E$27*(1-Inputs!$B$23)+Inputs!$B$21*(Inputs!$B$11*(1-Inputs!$B$12)-'Unit Economics'!$B$42-'Unit Economics'!$B$43)))-'Unit Economics'!$B$50</f>
        <v>23944.4033333333</v>
      </c>
      <c r="F30" s="25" t="n">
        <f aca="false">Inputs!$B$13*((1-$A30)*'Unit Economics'!$B$44+$A30*(F$27*(1-Inputs!$B$23)+Inputs!$B$21*(Inputs!$B$11*(1-Inputs!$B$12)-'Unit Economics'!$B$42-'Unit Economics'!$B$43)))-'Unit Economics'!$B$50</f>
        <v>25924.4033333333</v>
      </c>
    </row>
    <row r="31" customFormat="false" ht="15" hidden="false" customHeight="false" outlineLevel="0" collapsed="false">
      <c r="A31" s="40" t="n">
        <v>0.6</v>
      </c>
      <c r="B31" s="25" t="n">
        <f aca="false">Inputs!$B$13*((1-$A31)*'Unit Economics'!$B$44+$A31*(B$27*(1-Inputs!$B$23)+Inputs!$B$21*(Inputs!$B$11*(1-Inputs!$B$12)-'Unit Economics'!$B$42-'Unit Economics'!$B$43)))-'Unit Economics'!$B$50</f>
        <v>10660.2716666667</v>
      </c>
      <c r="C31" s="25" t="n">
        <f aca="false">Inputs!$B$13*((1-$A31)*'Unit Economics'!$B$44+$A31*(C$27*(1-Inputs!$B$23)+Inputs!$B$21*(Inputs!$B$11*(1-Inputs!$B$12)-'Unit Economics'!$B$42-'Unit Economics'!$B$43)))-'Unit Economics'!$B$50</f>
        <v>15115.2716666667</v>
      </c>
      <c r="D31" s="25" t="n">
        <f aca="false">Inputs!$B$13*((1-$A31)*'Unit Economics'!$B$44+$A31*(D$27*(1-Inputs!$B$23)+Inputs!$B$21*(Inputs!$B$11*(1-Inputs!$B$12)-'Unit Economics'!$B$42-'Unit Economics'!$B$43)))-'Unit Economics'!$B$50</f>
        <v>18085.2716666667</v>
      </c>
      <c r="E31" s="25" t="n">
        <f aca="false">Inputs!$B$13*((1-$A31)*'Unit Economics'!$B$44+$A31*(E$27*(1-Inputs!$B$23)+Inputs!$B$21*(Inputs!$B$11*(1-Inputs!$B$12)-'Unit Economics'!$B$42-'Unit Economics'!$B$43)))-'Unit Economics'!$B$50</f>
        <v>22540.2716666667</v>
      </c>
      <c r="F31" s="25" t="n">
        <f aca="false">Inputs!$B$13*((1-$A31)*'Unit Economics'!$B$44+$A31*(F$27*(1-Inputs!$B$23)+Inputs!$B$21*(Inputs!$B$11*(1-Inputs!$B$12)-'Unit Economics'!$B$42-'Unit Economics'!$B$43)))-'Unit Economics'!$B$50</f>
        <v>25510.2716666667</v>
      </c>
    </row>
    <row r="32" customFormat="false" ht="15" hidden="false" customHeight="false" outlineLevel="0" collapsed="false">
      <c r="A32" s="40" t="n">
        <v>0.8</v>
      </c>
      <c r="B32" s="25" t="n">
        <f aca="false">Inputs!$B$13*((1-$A32)*'Unit Economics'!$B$44+$A32*(B$27*(1-Inputs!$B$23)+Inputs!$B$21*(Inputs!$B$11*(1-Inputs!$B$12)-'Unit Economics'!$B$42-'Unit Economics'!$B$43)))-'Unit Economics'!$B$50</f>
        <v>5296.14</v>
      </c>
      <c r="C32" s="25" t="n">
        <f aca="false">Inputs!$B$13*((1-$A32)*'Unit Economics'!$B$44+$A32*(C$27*(1-Inputs!$B$23)+Inputs!$B$21*(Inputs!$B$11*(1-Inputs!$B$12)-'Unit Economics'!$B$42-'Unit Economics'!$B$43)))-'Unit Economics'!$B$50</f>
        <v>11236.14</v>
      </c>
      <c r="D32" s="25" t="n">
        <f aca="false">Inputs!$B$13*((1-$A32)*'Unit Economics'!$B$44+$A32*(D$27*(1-Inputs!$B$23)+Inputs!$B$21*(Inputs!$B$11*(1-Inputs!$B$12)-'Unit Economics'!$B$42-'Unit Economics'!$B$43)))-'Unit Economics'!$B$50</f>
        <v>15196.14</v>
      </c>
      <c r="E32" s="25" t="n">
        <f aca="false">Inputs!$B$13*((1-$A32)*'Unit Economics'!$B$44+$A32*(E$27*(1-Inputs!$B$23)+Inputs!$B$21*(Inputs!$B$11*(1-Inputs!$B$12)-'Unit Economics'!$B$42-'Unit Economics'!$B$43)))-'Unit Economics'!$B$50</f>
        <v>21136.14</v>
      </c>
      <c r="F32" s="25" t="n">
        <f aca="false">Inputs!$B$13*((1-$A32)*'Unit Economics'!$B$44+$A32*(F$27*(1-Inputs!$B$23)+Inputs!$B$21*(Inputs!$B$11*(1-Inputs!$B$12)-'Unit Economics'!$B$42-'Unit Economics'!$B$43)))-'Unit Economics'!$B$50</f>
        <v>25096.14</v>
      </c>
    </row>
  </sheetData>
  <conditionalFormatting sqref="B6:F14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9:F23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28:F32">
    <cfRule type="cellIs" priority="6" operator="greaterThanOrEqual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226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11" t="s">
        <v>227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7"/>
      <c r="B4" s="7" t="s">
        <v>133</v>
      </c>
      <c r="C4" s="7" t="s">
        <v>134</v>
      </c>
      <c r="D4" s="7" t="s">
        <v>135</v>
      </c>
      <c r="E4" s="7" t="s">
        <v>136</v>
      </c>
      <c r="F4" s="7" t="s">
        <v>137</v>
      </c>
    </row>
    <row r="5" customFormat="false" ht="15" hidden="false" customHeight="false" outlineLevel="0" collapsed="false">
      <c r="A5" s="2" t="s">
        <v>228</v>
      </c>
      <c r="B5" s="23" t="n">
        <f aca="false">Inputs!B82</f>
        <v>1</v>
      </c>
      <c r="C5" s="23" t="n">
        <f aca="false">Inputs!C82</f>
        <v>1</v>
      </c>
      <c r="D5" s="23" t="n">
        <f aca="false">Inputs!D82</f>
        <v>2</v>
      </c>
      <c r="E5" s="23" t="n">
        <f aca="false">Inputs!E82</f>
        <v>4</v>
      </c>
      <c r="F5" s="23" t="n">
        <f aca="false">Inputs!F82</f>
        <v>6</v>
      </c>
    </row>
    <row r="6" customFormat="false" ht="15" hidden="false" customHeight="false" outlineLevel="0" collapsed="false">
      <c r="A6" s="2" t="s">
        <v>229</v>
      </c>
      <c r="B6" s="24" t="n">
        <f aca="false">0</f>
        <v>0</v>
      </c>
      <c r="C6" s="24" t="n">
        <f aca="false">B5</f>
        <v>1</v>
      </c>
      <c r="D6" s="24" t="n">
        <f aca="false">C5</f>
        <v>1</v>
      </c>
      <c r="E6" s="24" t="n">
        <f aca="false">D5</f>
        <v>2</v>
      </c>
      <c r="F6" s="24" t="n">
        <f aca="false">E5</f>
        <v>4</v>
      </c>
    </row>
    <row r="7" customFormat="false" ht="15" hidden="false" customHeight="false" outlineLevel="0" collapsed="false">
      <c r="A7" s="2" t="s">
        <v>230</v>
      </c>
      <c r="B7" s="24" t="n">
        <f aca="false">0</f>
        <v>0</v>
      </c>
      <c r="C7" s="24" t="n">
        <f aca="false">B7+B6</f>
        <v>0</v>
      </c>
      <c r="D7" s="24" t="n">
        <f aca="false">C7+C6</f>
        <v>1</v>
      </c>
      <c r="E7" s="24" t="n">
        <f aca="false">D7+D6</f>
        <v>2</v>
      </c>
      <c r="F7" s="24" t="n">
        <f aca="false">E7+E6</f>
        <v>4</v>
      </c>
    </row>
    <row r="8" customFormat="false" ht="15" hidden="false" customHeight="false" outlineLevel="0" collapsed="false">
      <c r="A8" s="2" t="s">
        <v>231</v>
      </c>
      <c r="B8" s="24" t="n">
        <f aca="false">B5+B6+B7</f>
        <v>1</v>
      </c>
      <c r="C8" s="24" t="n">
        <f aca="false">C5+C6+C7</f>
        <v>2</v>
      </c>
      <c r="D8" s="24" t="n">
        <f aca="false">D5+D6+D7</f>
        <v>4</v>
      </c>
      <c r="E8" s="24" t="n">
        <f aca="false">E5+E6+E7</f>
        <v>8</v>
      </c>
      <c r="F8" s="24" t="n">
        <f aca="false">F5+F6+F7</f>
        <v>14</v>
      </c>
    </row>
    <row r="9" customFormat="false" ht="15" hidden="false" customHeight="false" outlineLevel="0" collapsed="false">
      <c r="A9" s="2" t="s">
        <v>150</v>
      </c>
      <c r="B9" s="25" t="n">
        <f aca="false">B5*SUM('36-Month Ramp'!C6:N6)+B6*SUM('36-Month Ramp'!O6:Z6)+B7*SUM('36-Month Ramp'!AA6:AL6)</f>
        <v>650484.582785269</v>
      </c>
      <c r="C9" s="25" t="n">
        <f aca="false">C5*SUM('36-Month Ramp'!C6:N6)+C6*SUM('36-Month Ramp'!O6:Z6)+C7*SUM('36-Month Ramp'!AA6:AL6)</f>
        <v>1736211.70194266</v>
      </c>
      <c r="D9" s="25" t="n">
        <f aca="false">D5*SUM('36-Month Ramp'!C6:N6)+D6*SUM('36-Month Ramp'!O6:Z6)+D7*SUM('36-Month Ramp'!AA6:AL6)</f>
        <v>3480844.28472793</v>
      </c>
      <c r="E9" s="25" t="n">
        <f aca="false">E5*SUM('36-Month Ramp'!C6:N6)+E6*SUM('36-Month Ramp'!O6:Z6)+E7*SUM('36-Month Ramp'!AA6:AL6)</f>
        <v>6961688.56945586</v>
      </c>
      <c r="F9" s="25" t="n">
        <f aca="false">F5*SUM('36-Month Ramp'!C6:N6)+F6*SUM('36-Month Ramp'!O6:Z6)+F7*SUM('36-Month Ramp'!AA6:AL6)</f>
        <v>12622407.9733412</v>
      </c>
    </row>
    <row r="10" customFormat="false" ht="15" hidden="false" customHeight="false" outlineLevel="0" collapsed="false">
      <c r="A10" s="2" t="s">
        <v>232</v>
      </c>
      <c r="B10" s="25" t="n">
        <f aca="false">B5*SUM('36-Month Ramp'!C10:N10)+B6*SUM('36-Month Ramp'!O10:Z10)+B7*SUM('36-Month Ramp'!AA10:AL10)</f>
        <v>14638.4670017109</v>
      </c>
      <c r="C10" s="25" t="n">
        <f aca="false">C5*SUM('36-Month Ramp'!C10:N10)+C6*SUM('36-Month Ramp'!O10:Z10)+C7*SUM('36-Month Ramp'!AA10:AL10)</f>
        <v>264958.324968404</v>
      </c>
      <c r="D10" s="25" t="n">
        <f aca="false">D5*SUM('36-Month Ramp'!C10:N10)+D6*SUM('36-Month Ramp'!O10:Z10)+D7*SUM('36-Month Ramp'!AA10:AL10)</f>
        <v>534807.431970115</v>
      </c>
      <c r="E10" s="25" t="n">
        <f aca="false">E5*SUM('36-Month Ramp'!C10:N10)+E6*SUM('36-Month Ramp'!O10:Z10)+E7*SUM('36-Month Ramp'!AA10:AL10)</f>
        <v>1069614.86394023</v>
      </c>
      <c r="F10" s="25" t="n">
        <f aca="false">F5*SUM('36-Month Ramp'!C10:N10)+F6*SUM('36-Month Ramp'!O10:Z10)+F7*SUM('36-Month Ramp'!AA10:AL10)</f>
        <v>2109952.79387704</v>
      </c>
    </row>
    <row r="11" customFormat="false" ht="15" hidden="false" customHeight="false" outlineLevel="0" collapsed="false">
      <c r="A11" s="2" t="s">
        <v>233</v>
      </c>
      <c r="B11" s="25" t="n">
        <f aca="false">-Inputs!B83</f>
        <v>-150000</v>
      </c>
      <c r="C11" s="25" t="n">
        <f aca="false">-Inputs!C83</f>
        <v>-400000</v>
      </c>
      <c r="D11" s="25" t="n">
        <f aca="false">-Inputs!D83</f>
        <v>-800000</v>
      </c>
      <c r="E11" s="25" t="n">
        <f aca="false">-Inputs!E83</f>
        <v>-1400000</v>
      </c>
      <c r="F11" s="25" t="n">
        <f aca="false">-Inputs!F83</f>
        <v>-2200000</v>
      </c>
    </row>
    <row r="12" customFormat="false" ht="15" hidden="false" customHeight="false" outlineLevel="0" collapsed="false">
      <c r="A12" s="3" t="s">
        <v>234</v>
      </c>
      <c r="B12" s="27" t="n">
        <f aca="false">B10+B11</f>
        <v>-135361.532998289</v>
      </c>
      <c r="C12" s="27" t="n">
        <f aca="false">C10+C11</f>
        <v>-135041.675031596</v>
      </c>
      <c r="D12" s="27" t="n">
        <f aca="false">D10+D11</f>
        <v>-265192.568029885</v>
      </c>
      <c r="E12" s="27" t="n">
        <f aca="false">E10+E11</f>
        <v>-330385.13605977</v>
      </c>
      <c r="F12" s="27" t="n">
        <f aca="false">F10+F11</f>
        <v>-90047.2061229609</v>
      </c>
    </row>
    <row r="13" customFormat="false" ht="15" hidden="false" customHeight="false" outlineLevel="0" collapsed="false">
      <c r="A13" s="2" t="s">
        <v>235</v>
      </c>
      <c r="B13" s="25" t="n">
        <f aca="false">-B5*'Unit Economics'!$B$69</f>
        <v>-232000</v>
      </c>
      <c r="C13" s="25" t="n">
        <f aca="false">-C5*'Unit Economics'!$B$69</f>
        <v>-232000</v>
      </c>
      <c r="D13" s="25" t="n">
        <f aca="false">-D5*'Unit Economics'!$B$69</f>
        <v>-464000</v>
      </c>
      <c r="E13" s="25" t="n">
        <f aca="false">-E5*'Unit Economics'!$B$69</f>
        <v>-928000</v>
      </c>
      <c r="F13" s="25" t="n">
        <f aca="false">-F5*'Unit Economics'!$B$69</f>
        <v>-1392000</v>
      </c>
    </row>
    <row r="14" customFormat="false" ht="15" hidden="false" customHeight="false" outlineLevel="0" collapsed="false">
      <c r="A14" s="2" t="s">
        <v>236</v>
      </c>
      <c r="B14" s="25" t="n">
        <f aca="false">B12+B13</f>
        <v>-367361.532998289</v>
      </c>
      <c r="C14" s="25" t="n">
        <f aca="false">C12+C13</f>
        <v>-367041.675031596</v>
      </c>
      <c r="D14" s="25" t="n">
        <f aca="false">D12+D13</f>
        <v>-729192.568029885</v>
      </c>
      <c r="E14" s="25" t="n">
        <f aca="false">E12+E13</f>
        <v>-1258385.13605977</v>
      </c>
      <c r="F14" s="25" t="n">
        <f aca="false">F12+F13</f>
        <v>-1482047.20612296</v>
      </c>
    </row>
    <row r="15" customFormat="false" ht="15" hidden="false" customHeight="false" outlineLevel="0" collapsed="false">
      <c r="A15" s="3" t="s">
        <v>212</v>
      </c>
      <c r="B15" s="27" t="n">
        <f aca="false">B14</f>
        <v>-367361.532998289</v>
      </c>
      <c r="C15" s="27" t="n">
        <f aca="false">B15+C14</f>
        <v>-734403.208029885</v>
      </c>
      <c r="D15" s="27" t="n">
        <f aca="false">C15+D14</f>
        <v>-1463595.77605977</v>
      </c>
      <c r="E15" s="27" t="n">
        <f aca="false">D15+E14</f>
        <v>-2721980.91211954</v>
      </c>
      <c r="F15" s="27" t="n">
        <f aca="false">E15+F14</f>
        <v>-4204028.1182425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3" t="s">
        <v>237</v>
      </c>
      <c r="B17" s="41" t="n">
        <f aca="false">-MIN(0,MIN(B15:F15))</f>
        <v>4204028.1182425</v>
      </c>
      <c r="C17" s="6"/>
      <c r="D17" s="6"/>
      <c r="E17" s="6"/>
      <c r="F17" s="6"/>
    </row>
    <row r="18" customFormat="false" ht="15" hidden="false" customHeight="false" outlineLevel="0" collapsed="false">
      <c r="A18" s="11" t="s">
        <v>238</v>
      </c>
      <c r="B18" s="6"/>
      <c r="C18" s="6"/>
      <c r="D18" s="6"/>
      <c r="E18" s="6"/>
      <c r="F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239</v>
      </c>
      <c r="B1" s="6"/>
      <c r="C1" s="6"/>
    </row>
    <row r="2" customFormat="false" ht="15" hidden="false" customHeight="false" outlineLevel="0" collapsed="false">
      <c r="A2" s="11" t="s">
        <v>240</v>
      </c>
      <c r="B2" s="6"/>
      <c r="C2" s="6"/>
    </row>
    <row r="3" customFormat="false" ht="15" hidden="false" customHeight="false" outlineLevel="0" collapsed="false">
      <c r="A3" s="6"/>
      <c r="B3" s="6"/>
      <c r="C3" s="6"/>
    </row>
    <row r="4" customFormat="false" ht="15" hidden="false" customHeight="false" outlineLevel="0" collapsed="false">
      <c r="A4" s="7" t="s">
        <v>241</v>
      </c>
      <c r="B4" s="42"/>
      <c r="C4" s="42"/>
    </row>
    <row r="5" customFormat="false" ht="15" hidden="false" customHeight="false" outlineLevel="0" collapsed="false">
      <c r="A5" s="2" t="s">
        <v>199</v>
      </c>
      <c r="B5" s="34" t="n">
        <f aca="false">'Unit Economics'!$B$66</f>
        <v>72000</v>
      </c>
      <c r="C5" s="6"/>
    </row>
    <row r="6" customFormat="false" ht="15" hidden="false" customHeight="false" outlineLevel="0" collapsed="false">
      <c r="A6" s="2" t="s">
        <v>128</v>
      </c>
      <c r="B6" s="34" t="n">
        <f aca="false">'Unit Economics'!$B$67</f>
        <v>90000</v>
      </c>
      <c r="C6" s="6"/>
    </row>
    <row r="7" customFormat="false" ht="15" hidden="false" customHeight="false" outlineLevel="0" collapsed="false">
      <c r="A7" s="2" t="s">
        <v>200</v>
      </c>
      <c r="B7" s="34" t="n">
        <f aca="false">'Unit Economics'!$B$68</f>
        <v>70000</v>
      </c>
      <c r="C7" s="6"/>
    </row>
    <row r="8" customFormat="false" ht="15" hidden="false" customHeight="false" outlineLevel="0" collapsed="false">
      <c r="A8" s="2" t="s">
        <v>242</v>
      </c>
      <c r="B8" s="25" t="n">
        <f aca="false">MAX(0,-'36-Month Ramp'!$B$17-'Unit Economics'!$B$69)</f>
        <v>174223.78080361</v>
      </c>
      <c r="C8" s="11" t="s">
        <v>243</v>
      </c>
    </row>
    <row r="9" customFormat="false" ht="15" hidden="false" customHeight="false" outlineLevel="0" collapsed="false">
      <c r="A9" s="2" t="s">
        <v>244</v>
      </c>
      <c r="B9" s="17" t="n">
        <v>0.2</v>
      </c>
      <c r="C9" s="11" t="s">
        <v>245</v>
      </c>
    </row>
    <row r="10" customFormat="false" ht="15" hidden="false" customHeight="false" outlineLevel="0" collapsed="false">
      <c r="A10" s="2" t="s">
        <v>246</v>
      </c>
      <c r="B10" s="25" t="n">
        <f aca="false">SUM($B$5:$B$8)*$B$9</f>
        <v>81244.7561607221</v>
      </c>
      <c r="C10" s="6"/>
    </row>
    <row r="11" customFormat="false" ht="15" hidden="false" customHeight="false" outlineLevel="0" collapsed="false">
      <c r="A11" s="3" t="s">
        <v>247</v>
      </c>
      <c r="B11" s="27" t="n">
        <f aca="false">SUM($B$5:$B$8)+$B$10</f>
        <v>487468.536964332</v>
      </c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7" t="s">
        <v>248</v>
      </c>
      <c r="B13" s="42"/>
      <c r="C13" s="42"/>
    </row>
    <row r="14" customFormat="false" ht="15" hidden="false" customHeight="false" outlineLevel="0" collapsed="false">
      <c r="A14" s="2" t="s">
        <v>249</v>
      </c>
      <c r="B14" s="10" t="n">
        <v>50000</v>
      </c>
      <c r="C14" s="11" t="s">
        <v>250</v>
      </c>
    </row>
    <row r="15" customFormat="false" ht="15" hidden="false" customHeight="false" outlineLevel="0" collapsed="false">
      <c r="A15" s="2" t="s">
        <v>251</v>
      </c>
      <c r="B15" s="16" t="n">
        <v>0</v>
      </c>
      <c r="C15" s="11" t="s">
        <v>252</v>
      </c>
    </row>
    <row r="16" customFormat="false" ht="15" hidden="false" customHeight="false" outlineLevel="0" collapsed="false">
      <c r="A16" s="2" t="s">
        <v>253</v>
      </c>
      <c r="B16" s="16" t="n">
        <v>3</v>
      </c>
      <c r="C16" s="11" t="s">
        <v>254</v>
      </c>
    </row>
    <row r="17" customFormat="false" ht="15" hidden="false" customHeight="false" outlineLevel="0" collapsed="false">
      <c r="A17" s="2" t="s">
        <v>255</v>
      </c>
      <c r="B17" s="25" t="n">
        <f aca="false">$B$15*$B$16*Inputs!$B$6</f>
        <v>0</v>
      </c>
      <c r="C17" s="11" t="s">
        <v>256</v>
      </c>
    </row>
    <row r="18" customFormat="false" ht="15" hidden="false" customHeight="false" outlineLevel="0" collapsed="false">
      <c r="A18" s="2" t="s">
        <v>257</v>
      </c>
      <c r="B18" s="16" t="n">
        <v>10</v>
      </c>
      <c r="C18" s="11" t="s">
        <v>258</v>
      </c>
    </row>
    <row r="19" customFormat="false" ht="15" hidden="false" customHeight="false" outlineLevel="0" collapsed="false">
      <c r="A19" s="2" t="s">
        <v>259</v>
      </c>
      <c r="B19" s="16" t="n">
        <v>10</v>
      </c>
      <c r="C19" s="11" t="s">
        <v>33</v>
      </c>
    </row>
    <row r="20" customFormat="false" ht="15" hidden="false" customHeight="false" outlineLevel="0" collapsed="false">
      <c r="A20" s="2" t="s">
        <v>260</v>
      </c>
      <c r="B20" s="16" t="n">
        <v>0</v>
      </c>
      <c r="C20" s="11" t="s">
        <v>261</v>
      </c>
    </row>
    <row r="21" customFormat="false" ht="15" hidden="false" customHeight="false" outlineLevel="0" collapsed="false">
      <c r="A21" s="2" t="s">
        <v>262</v>
      </c>
      <c r="B21" s="25" t="n">
        <f aca="false">$B$18*$B$19*$B$20*Inputs!$B$20</f>
        <v>0</v>
      </c>
      <c r="C21" s="6"/>
    </row>
    <row r="22" customFormat="false" ht="15" hidden="false" customHeight="false" outlineLevel="0" collapsed="false">
      <c r="A22" s="2" t="s">
        <v>263</v>
      </c>
      <c r="B22" s="10" t="n">
        <v>0</v>
      </c>
      <c r="C22" s="11" t="s">
        <v>264</v>
      </c>
    </row>
    <row r="23" customFormat="false" ht="15" hidden="false" customHeight="false" outlineLevel="0" collapsed="false">
      <c r="A23" s="3" t="s">
        <v>265</v>
      </c>
      <c r="B23" s="27" t="n">
        <f aca="false">MAX(0,$B$11-$B$14-$B$17-$B$21-$B$22)</f>
        <v>437468.536964332</v>
      </c>
      <c r="C23" s="11" t="s">
        <v>266</v>
      </c>
    </row>
    <row r="24" customFormat="false" ht="15" hidden="false" customHeight="false" outlineLevel="0" collapsed="false">
      <c r="A24" s="3" t="s">
        <v>267</v>
      </c>
      <c r="B24" s="27" t="n">
        <f aca="false">$B$14+$B$17+$B$21+$B$22+$B$23</f>
        <v>487468.536964332</v>
      </c>
      <c r="C24" s="6"/>
    </row>
    <row r="25" customFormat="false" ht="15" hidden="false" customHeight="false" outlineLevel="0" collapsed="false">
      <c r="A25" s="6"/>
      <c r="B25" s="6"/>
      <c r="C25" s="6"/>
    </row>
    <row r="26" customFormat="false" ht="15" hidden="false" customHeight="false" outlineLevel="0" collapsed="false">
      <c r="A26" s="7" t="s">
        <v>268</v>
      </c>
      <c r="B26" s="42"/>
      <c r="C26" s="42"/>
    </row>
    <row r="27" customFormat="false" ht="15" hidden="false" customHeight="false" outlineLevel="0" collapsed="false">
      <c r="A27" s="2" t="s">
        <v>269</v>
      </c>
      <c r="B27" s="30" t="n">
        <f aca="false">IF($B$11=0,0,($B$14+$B$23)/$B$11)</f>
        <v>1</v>
      </c>
      <c r="C27" s="11" t="s">
        <v>270</v>
      </c>
    </row>
    <row r="28" customFormat="false" ht="15" hidden="false" customHeight="false" outlineLevel="0" collapsed="false">
      <c r="A28" s="3" t="s">
        <v>271</v>
      </c>
      <c r="B28" s="33" t="str">
        <f aca="false">IF($B$27&gt;=0.1,"Yes","No")</f>
        <v>Yes</v>
      </c>
      <c r="C28" s="6"/>
    </row>
    <row r="29" customFormat="false" ht="15" hidden="false" customHeight="false" outlineLevel="0" collapsed="false">
      <c r="A29" s="2" t="s">
        <v>272</v>
      </c>
      <c r="B29" s="17" t="n">
        <v>0.105</v>
      </c>
      <c r="C29" s="11" t="s">
        <v>273</v>
      </c>
    </row>
    <row r="30" customFormat="false" ht="15" hidden="false" customHeight="false" outlineLevel="0" collapsed="false">
      <c r="A30" s="2" t="s">
        <v>274</v>
      </c>
      <c r="B30" s="16" t="n">
        <v>10</v>
      </c>
      <c r="C30" s="11" t="s">
        <v>33</v>
      </c>
    </row>
    <row r="31" customFormat="false" ht="15" hidden="false" customHeight="false" outlineLevel="0" collapsed="false">
      <c r="A31" s="2" t="s">
        <v>275</v>
      </c>
      <c r="B31" s="25" t="n">
        <f aca="false">IF($B$22=0,0,-PMT($B$29,$B$30,$B$22))</f>
        <v>0</v>
      </c>
      <c r="C31" s="6"/>
    </row>
    <row r="32" customFormat="false" ht="15" hidden="false" customHeight="false" outlineLevel="0" collapsed="false">
      <c r="A32" s="3" t="s">
        <v>276</v>
      </c>
      <c r="B32" s="43" t="str">
        <f aca="false">IF($B$31=0,"No loan",'Unit Economics'!$B$36/$B$31)</f>
        <v>No loan</v>
      </c>
      <c r="C32" s="11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279</v>
      </c>
    </row>
    <row r="4" customFormat="false" ht="15" hidden="false" customHeight="false" outlineLevel="0" collapsed="false">
      <c r="A4" s="2" t="s">
        <v>280</v>
      </c>
    </row>
    <row r="5" customFormat="false" ht="15" hidden="false" customHeight="false" outlineLevel="0" collapsed="false">
      <c r="A5" s="2" t="s">
        <v>281</v>
      </c>
    </row>
    <row r="6" customFormat="false" ht="15" hidden="false" customHeight="false" outlineLevel="0" collapsed="false">
      <c r="A6" s="2" t="s">
        <v>282</v>
      </c>
    </row>
    <row r="7" customFormat="false" ht="15" hidden="false" customHeight="false" outlineLevel="0" collapsed="false">
      <c r="A7" s="2" t="s">
        <v>283</v>
      </c>
    </row>
    <row r="8" customFormat="false" ht="15" hidden="false" customHeight="false" outlineLevel="0" collapsed="false">
      <c r="A8" s="2" t="s">
        <v>284</v>
      </c>
    </row>
    <row r="9" customFormat="false" ht="15" hidden="false" customHeight="false" outlineLevel="0" collapsed="false">
      <c r="A9" s="2" t="s">
        <v>285</v>
      </c>
    </row>
    <row r="10" customFormat="false" ht="15" hidden="false" customHeight="false" outlineLevel="0" collapsed="false">
      <c r="A10" s="2" t="s">
        <v>286</v>
      </c>
    </row>
    <row r="11" customFormat="false" ht="15" hidden="false" customHeight="false" outlineLevel="0" collapsed="false">
      <c r="A11" s="2" t="s">
        <v>287</v>
      </c>
    </row>
    <row r="12" customFormat="false" ht="15" hidden="false" customHeight="false" outlineLevel="0" collapsed="false">
      <c r="A12" s="2" t="s">
        <v>288</v>
      </c>
    </row>
    <row r="13" customFormat="false" ht="15" hidden="false" customHeight="false" outlineLevel="0" collapsed="false">
      <c r="A13" s="2" t="s">
        <v>289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2026-10-10T17:10:00Z</dcterms:created>
  <dc:creator>openpyxl</dc:creator>
  <dc:description/>
  <dc:language>en-US</dc:language>
  <cp:lastModifiedBy/>
  <dcterms:modified xsi:type="dcterms:W3CDTF">2026-10-10T17:10:00Z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