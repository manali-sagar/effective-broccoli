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Unit Economics" sheetId="3" state="visible" r:id="rId5"/>
    <sheet name="36-Month Ramp" sheetId="4" state="visible" r:id="rId6"/>
    <sheet name="Sensitivity" sheetId="5" state="visible" r:id="rId7"/>
    <sheet name="Rollout" sheetId="6" state="visible" r:id="rId8"/>
    <sheet name="Sources &amp; No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<sst xmlns="http://schemas.openxmlformats.org/spreadsheetml/2006/main" count="243" uniqueCount="195">
  <si>
    <t xml:space="preserve">Off Hours: Unit Economics Model</t>
  </si>
  <si>
    <t xml:space="preserve">A first-pass model for one Boston location plus a multi-location rollout. Every number is editable.</t>
  </si>
  <si>
    <t xml:space="preserve">How to use</t>
  </si>
  <si>
    <t xml:space="preserve">1. Change only the blue numbers on the Inputs tab. Yellow cells are the assumptions that move the result most.</t>
  </si>
  <si>
    <t xml:space="preserve">2. Unit Economics shows one location at steady state: monthly P&amp;L, break-even members, and capacity checks.</t>
  </si>
  <si>
    <t xml:space="preserve">3. 36-Month Ramp shows the first location month by month, from opening day to payback.</t>
  </si>
  <si>
    <t xml:space="preserve">4. Sensitivity shows monthly profit across price, member count, and included massage minutes.</t>
  </si>
  <si>
    <t xml:space="preserve">5. Rollout shows the company view (many locations + HQ costs) and how much capital you would need to raise.</t>
  </si>
  <si>
    <t xml:space="preserve">Color legend</t>
  </si>
  <si>
    <t xml:space="preserve">Blue text = input you can change</t>
  </si>
  <si>
    <t xml:space="preserve">Black text = formula (do not type over)</t>
  </si>
  <si>
    <t xml:space="preserve">Green text = pulled from another tab</t>
  </si>
  <si>
    <t xml:space="preserve">Yellow fill = key assumption</t>
  </si>
  <si>
    <t xml:space="preserve">Important caveats</t>
  </si>
  <si>
    <t xml:space="preserve">These are planning assumptions, not quotes. Replace them with real numbers as you get them (broker rent quotes, therapist pay offers, contractor bids).</t>
  </si>
  <si>
    <t xml:space="preserve">Massachusetts treats most workers as employees (ABC test). The model assumes massage therapists are W-2 part-time employees. Confirm with a MA employment lawyer.</t>
  </si>
  <si>
    <t xml:space="preserve">A massage establishment license from the MA Board of Registration of Massage Therapy is assumed. See Sources &amp; Notes.</t>
  </si>
  <si>
    <t xml:space="preserve">Inputs (edit blue cells)</t>
  </si>
  <si>
    <t xml:space="preserve">Input</t>
  </si>
  <si>
    <t xml:space="preserve">Value</t>
  </si>
  <si>
    <t xml:space="preserve">Source / note</t>
  </si>
  <si>
    <t xml:space="preserve">Pricing and members</t>
  </si>
  <si>
    <t xml:space="preserve">Monthly membership price</t>
  </si>
  <si>
    <t xml:space="preserve">From you: $150/month</t>
  </si>
  <si>
    <t xml:space="preserve">Add-on revenue per member per month</t>
  </si>
  <si>
    <t xml:space="preserve">Assumption: extra or longer massages, guest passes, retail tea. Not on the site yet</t>
  </si>
  <si>
    <t xml:space="preserve">Card processing fees (% of revenue)</t>
  </si>
  <si>
    <t xml:space="preserve">Assumption: typical Stripe/Square rate</t>
  </si>
  <si>
    <t xml:space="preserve">Steady-state members per location</t>
  </si>
  <si>
    <t xml:space="preserve">Assumption. The single most important number in the model</t>
  </si>
  <si>
    <t xml:space="preserve">Members on opening day</t>
  </si>
  <si>
    <t xml:space="preserve">From the site: first 100 on the list get founding status</t>
  </si>
  <si>
    <t xml:space="preserve">New members joining per month (during ramp)</t>
  </si>
  <si>
    <t xml:space="preserve">Assumption</t>
  </si>
  <si>
    <t xml:space="preserve">Monthly member churn</t>
  </si>
  <si>
    <t xml:space="preserve">Assumption: boutique fitness memberships commonly lose 3 to 5% a month</t>
  </si>
  <si>
    <t xml:space="preserve">Member usage</t>
  </si>
  <si>
    <t xml:space="preserve">Lounge visits per member per month</t>
  </si>
  <si>
    <t xml:space="preserve">Assumption. Daily is the brand promise, but most members will come 1 to 2x a week</t>
  </si>
  <si>
    <t xml:space="preserve">Average stay (hours)</t>
  </si>
  <si>
    <t xml:space="preserve">Peak-hour factor (busiest hour vs average hour)</t>
  </si>
  <si>
    <t xml:space="preserve">Assumption: lunch and after-work rush</t>
  </si>
  <si>
    <t xml:space="preserve">Open hours per day</t>
  </si>
  <si>
    <t xml:space="preserve">Assumption: 7am to 9pm</t>
  </si>
  <si>
    <t xml:space="preserve">Open days per month</t>
  </si>
  <si>
    <t xml:space="preserve">Assumption: 7 days a week</t>
  </si>
  <si>
    <t xml:space="preserve">Massage minutes included per member per month</t>
  </si>
  <si>
    <t xml:space="preserve">From the site: four 15-minute massages</t>
  </si>
  <si>
    <t xml:space="preserve">Share of included massage minutes actually used</t>
  </si>
  <si>
    <t xml:space="preserve">Assumption: not everyone uses all four</t>
  </si>
  <si>
    <t xml:space="preserve">Drinks per visit</t>
  </si>
  <si>
    <t xml:space="preserve">Cost per drink (beans, milk, tea, cup)</t>
  </si>
  <si>
    <t xml:space="preserve">Consumables per visit (linens, oils, snacks)</t>
  </si>
  <si>
    <t xml:space="preserve">Massage staffing</t>
  </si>
  <si>
    <t xml:space="preserve">Therapist hourly pay</t>
  </si>
  <si>
    <t xml:space="preserve">Boston-area median is $36.13/hr (BLS, May 2025, via WageDex). Set slightly above to recruit good people</t>
  </si>
  <si>
    <t xml:space="preserve">Payroll taxes and benefits (% of pay)</t>
  </si>
  <si>
    <t xml:space="preserve">Assumption for part-time W-2 staff in MA (FICA, unemployment, PFML, workers comp)</t>
  </si>
  <si>
    <t xml:space="preserve">Therapist utilization (booked hours / paid hours)</t>
  </si>
  <si>
    <t xml:space="preserve">Assumption: gaps between bookings and no-shows are paid time</t>
  </si>
  <si>
    <t xml:space="preserve">Paid hours per therapist per month</t>
  </si>
  <si>
    <t xml:space="preserve">Assumption: part-time, about 20 hours a week</t>
  </si>
  <si>
    <t xml:space="preserve">Massage rooms</t>
  </si>
  <si>
    <t xml:space="preserve">Target room occupancy</t>
  </si>
  <si>
    <t xml:space="preserve">Space</t>
  </si>
  <si>
    <t xml:space="preserve">Square feet</t>
  </si>
  <si>
    <t xml:space="preserve">Rent per sq ft per year (all-in)</t>
  </si>
  <si>
    <t xml:space="preserve">Assumption for upper-floor or landlord-partner space. Ground-floor retail: Back Bay $125 to $225, Seaport $85 to $150 (Banker &amp; Tradesman)</t>
  </si>
  <si>
    <t xml:space="preserve">Rent structure (1 = fixed lease, 2 = revenue share)</t>
  </si>
  <si>
    <t xml:space="preserve">Switch to 2 to model a Fabrik/Industrious-style landlord partnership</t>
  </si>
  <si>
    <t xml:space="preserve">Landlord revenue share (% of revenue, if structure = 2)</t>
  </si>
  <si>
    <t xml:space="preserve">Lounge seats</t>
  </si>
  <si>
    <t xml:space="preserve">Front of house and programming</t>
  </si>
  <si>
    <t xml:space="preserve">General manager salary (per year)</t>
  </si>
  <si>
    <t xml:space="preserve">Host / front desk hourly pay</t>
  </si>
  <si>
    <t xml:space="preserve">Hosts on shift (average across open hours)</t>
  </si>
  <si>
    <t xml:space="preserve">Ritual sessions per month (sound baths, stretching)</t>
  </si>
  <si>
    <t xml:space="preserve">Assumption: about one a day</t>
  </si>
  <si>
    <t xml:space="preserve">Cost per ritual session (contracted facilitator)</t>
  </si>
  <si>
    <t xml:space="preserve">Other monthly operating costs</t>
  </si>
  <si>
    <t xml:space="preserve">Utilities and internet</t>
  </si>
  <si>
    <t xml:space="preserve">Cleaning and laundry</t>
  </si>
  <si>
    <t xml:space="preserve">Insurance (liability, professional, property)</t>
  </si>
  <si>
    <t xml:space="preserve">Software (booking, payments, door access)</t>
  </si>
  <si>
    <t xml:space="preserve">Local marketing</t>
  </si>
  <si>
    <t xml:space="preserve">Repairs and maintenance</t>
  </si>
  <si>
    <t xml:space="preserve">Licenses, supplies, misc</t>
  </si>
  <si>
    <t xml:space="preserve">Opening costs (one-time)</t>
  </si>
  <si>
    <t xml:space="preserve">Buildout cost per sq ft</t>
  </si>
  <si>
    <t xml:space="preserve">Assumption for a light buildout of existing space (rooms, soundproofing, plumbing for the bar)</t>
  </si>
  <si>
    <t xml:space="preserve">Landlord tenant improvement allowance per sq ft</t>
  </si>
  <si>
    <t xml:space="preserve">Assumption. Negotiable; larger in landlord partnerships</t>
  </si>
  <si>
    <t xml:space="preserve">Furniture, fixtures, equipment</t>
  </si>
  <si>
    <t xml:space="preserve">Assumption: lounge furniture, massage tables, espresso machine, sound</t>
  </si>
  <si>
    <t xml:space="preserve">Pre-opening (hiring, training, launch, deposits)</t>
  </si>
  <si>
    <t xml:space="preserve">Rollout (company view)</t>
  </si>
  <si>
    <t xml:space="preserve">Year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</si>
  <si>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</si>
  <si>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</si>
  <si>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</si>
  <si>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</si>
  <si>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</si>
  <si>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New locations opened</t>
  </si>
  <si>
    <t xml:space="preserve">HQ overhead (team, tech, recruiting, legal)</t>
  </si>
  <si>
    <t xml:space="preserve">Assumptions. HQ grows as you hire ops, a regional manager per ~5 locations, and finance</t>
  </si>
  <si>
    <t xml:space="preserve">One location at steady state (monthly)</t>
  </si>
  <si>
    <t xml:space="preserve">Members are set by 'Steady-state members per location' on Inputs.</t>
  </si>
  <si>
    <t xml:space="preserve">Members</t>
  </si>
  <si>
    <t xml:space="preserve">Monthly</t>
  </si>
  <si>
    <t xml:space="preserve">Per member</t>
  </si>
  <si>
    <t xml:space="preserve">Revenue</t>
  </si>
  <si>
    <t xml:space="preserve">Membership revenue</t>
  </si>
  <si>
    <t xml:space="preserve">Add-on revenue</t>
  </si>
  <si>
    <t xml:space="preserve">Total revenue</t>
  </si>
  <si>
    <t xml:space="preserve">Variable costs (scale with members)</t>
  </si>
  <si>
    <t xml:space="preserve">Card fees</t>
  </si>
  <si>
    <t xml:space="preserve">Massage therapist labor</t>
  </si>
  <si>
    <t xml:space="preserve">Coffee and tea</t>
  </si>
  <si>
    <t xml:space="preserve">Consumables</t>
  </si>
  <si>
    <t xml:space="preserve">Total variable costs</t>
  </si>
  <si>
    <t xml:space="preserve">Contribution after variable costs</t>
  </si>
  <si>
    <t xml:space="preserve">Fixed costs (same whether you have 200 or 500 members)</t>
  </si>
  <si>
    <t xml:space="preserve">Rent</t>
  </si>
  <si>
    <t xml:space="preserve">General manager (incl. taxes and benefits)</t>
  </si>
  <si>
    <t xml:space="preserve">Hosts / front desk</t>
  </si>
  <si>
    <t xml:space="preserve">Ritual facilitators</t>
  </si>
  <si>
    <t xml:space="preserve">Other operating costs</t>
  </si>
  <si>
    <t xml:space="preserve">Total fixed costs</t>
  </si>
  <si>
    <t xml:space="preserve">Profit</t>
  </si>
  <si>
    <t xml:space="preserve">Location profit before HQ costs ("4-wall EBITDA")</t>
  </si>
  <si>
    <t xml:space="preserve">4-wall margin</t>
  </si>
  <si>
    <t xml:space="preserve">Annual 4-wall EBITDA</t>
  </si>
  <si>
    <t xml:space="preserve">Break-even</t>
  </si>
  <si>
    <t xml:space="preserve">Revenue per member (after card fees)</t>
  </si>
  <si>
    <t xml:space="preserve">Massage labor per member</t>
  </si>
  <si>
    <t xml:space="preserve">Other variable cost per member</t>
  </si>
  <si>
    <t xml:space="preserve">Contribution per member</t>
  </si>
  <si>
    <t xml:space="preserve">Fixed costs (rent counted as fixed lease)</t>
  </si>
  <si>
    <t xml:space="preserve">Break-even members (fixed lease)</t>
  </si>
  <si>
    <t xml:space="preserve">Break-even members (revenue-share rent)</t>
  </si>
  <si>
    <t xml:space="preserve">Capacity checks (can the space handle these members?)</t>
  </si>
  <si>
    <t xml:space="preserve">Lounge: people at the busiest hour</t>
  </si>
  <si>
    <t xml:space="preserve">Lounge OK?</t>
  </si>
  <si>
    <t xml:space="preserve">Massage hours booked per month</t>
  </si>
  <si>
    <t xml:space="preserve">Massage room hours available per month</t>
  </si>
  <si>
    <t xml:space="preserve">Massage rooms OK?</t>
  </si>
  <si>
    <t xml:space="preserve">Max members the massage rooms can serve</t>
  </si>
  <si>
    <t xml:space="preserve">Part-time therapists needed</t>
  </si>
  <si>
    <t xml:space="preserve">Opening investment and payback</t>
  </si>
  <si>
    <t xml:space="preserve">Buildout (net of landlord allowance)</t>
  </si>
  <si>
    <t xml:space="preserve">Pre-opening</t>
  </si>
  <si>
    <t xml:space="preserve">Total cash to open one location</t>
  </si>
  <si>
    <t xml:space="preserve">Simple payback at steady state (years)</t>
  </si>
  <si>
    <t xml:space="preserve">First location, month by month</t>
  </si>
  <si>
    <t xml:space="preserve">Month 0 = opening costs. Members start at the opening-day number, add new members monthly, lose churn, and cap at steady state.</t>
  </si>
  <si>
    <t xml:space="preserve">Month</t>
  </si>
  <si>
    <t xml:space="preserve">Variable costs</t>
  </si>
  <si>
    <t xml:space="preserve">Other fixed costs</t>
  </si>
  <si>
    <t xml:space="preserve">Location profit (4-wall)</t>
  </si>
  <si>
    <t xml:space="preserve">Opening costs</t>
  </si>
  <si>
    <t xml:space="preserve">Net cash flow</t>
  </si>
  <si>
    <t xml:space="preserve">Cumulative cash</t>
  </si>
  <si>
    <t xml:space="preserve">Payback month flag</t>
  </si>
  <si>
    <t xml:space="preserve">Payback month (cash back from opening costs)</t>
  </si>
  <si>
    <t xml:space="preserve">Lowest cash point (most cash at risk)</t>
  </si>
  <si>
    <t xml:space="preserve">Month-36 cumulative cash</t>
  </si>
  <si>
    <t xml:space="preserve">Monthly 4-wall profit for one location</t>
  </si>
  <si>
    <t xml:space="preserve">Uses the fixed-lease rent and all other inputs from the Inputs tab. Green = profitable.</t>
  </si>
  <si>
    <t xml:space="preserve">Table 1: Members (down) x Monthly price (across). Massage minutes as on Inputs.</t>
  </si>
  <si>
    <t xml:space="preserve">Members \ Price</t>
  </si>
  <si>
    <t xml:space="preserve">Table 2: Included massage minutes per month (down) x Monthly price (across). Members as on Inputs.</t>
  </si>
  <si>
    <t xml:space="preserve">Massage min \ Price</t>
  </si>
  <si>
    <t xml:space="preserve">Company view: multi-location rollout (annual)</t>
  </si>
  <si>
    <t xml:space="preserve">Each location follows the 36-Month Ramp: year 1 of a location = ramp months 1-12, year 2 = months 13-24, year 3+ = months 25-36. Opening costs land in the year a location opens.</t>
  </si>
  <si>
    <t xml:space="preserve">New locations opened (in their first year)</t>
  </si>
  <si>
    <t xml:space="preserve">Locations in their second year</t>
  </si>
  <si>
    <t xml:space="preserve">Locations in year 3 or later</t>
  </si>
  <si>
    <t xml:space="preserve">Total locations open</t>
  </si>
  <si>
    <t xml:space="preserve">Location profit (4-wall EBITDA)</t>
  </si>
  <si>
    <t xml:space="preserve">HQ overhead</t>
  </si>
  <si>
    <t xml:space="preserve">Company EBITDA</t>
  </si>
  <si>
    <t xml:space="preserve">Opening investment</t>
  </si>
  <si>
    <t xml:space="preserve">Free cash flow</t>
  </si>
  <si>
    <t xml:space="preserve">Peak capital need (lowest cumulative cash, years 1-5)</t>
  </si>
  <si>
    <t xml:space="preserve">Add a 20-30% buffer on top of this when deciding how much to raise.</t>
  </si>
  <si>
    <t xml:space="preserve">Sources and notes</t>
  </si>
  <si>
    <t xml:space="preserve">Membership price and benefits: visitoffhours.com (from your screen recording) and your instruction that the price is $150/month.</t>
  </si>
  <si>
    <t xml:space="preserve">Massage therapist pay: Boston-Cambridge-Newton median $36.13/hr, BLS May 2025 via WageDex. https://wagedex.com/jobs/massage-therapists/metro/boston-cambridge-newton-ma-nh</t>
  </si>
  <si>
    <t xml:space="preserve">Payscale Boston LMT average $35/hr. https://www.payscale.com/research/US/Job=Licensed_Massage_Therapist_(LMT)/Hourly_Rate/9d4bcf95/Boston-MA</t>
  </si>
  <si>
    <t xml:space="preserve">Boston retail rents: Back Bay $125-225/sf, Seaport $85-150/sf (Banker &amp; Tradesman). https://bankerandtradesman.com/fidelity-invests-in-seaports-retail-reinvention</t>
  </si>
  <si>
    <t xml:space="preserve">MA worker classification (ABC test, prong B): https://www.mass.gov/news/ag-campbell-files-amicus-brief-urging-court-to-reverse-decision-in-massachusetts-worker-misclassification-case</t>
  </si>
  <si>
    <t xml:space="preserve">MA massage establishment licensing, 269 CMR 6.00: https://www.mass.gov/regulations/269-CMR-6-facility-licensure</t>
  </si>
  <si>
    <t xml:space="preserve">Landlord management agreements / revenue share (Industrious): https://www.wealthmanagement.com/wealth-management-industry-trends/office-landlords-consider-management-agreements-in-lieu-of-leases-for-co-working-operators</t>
  </si>
  <si>
    <t xml:space="preserve">Fabrik below-market flexible leases and Hines backing (CoStar): https://www.costar.com/article/1868835210/this-hines-backed-startup-offers-flexible-space-to-more-than-office-workers</t>
  </si>
  <si>
    <t xml:space="preserve">Everything not listed above is a planning assumption, labeled on the Inputs tab. Replace with real quotes as you get them.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</si>
</sst>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#,##0.0;\(#,##0.0\);\-"/>
    <numFmt numFmtId="169" formatCode="\$#,##0.00;&quot;($&quot;#,##0.00\);\-"/>
    <numFmt numFmtId="170" formatCode="0"/>
    <numFmt numFmtId="171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A2235"/>
        <bgColor rgb="FF333300"/>
      </patternFill>
    </fill>
    <fill>
      <patternFill patternType="solid">
        <fgColor rgb="FFF3E6CC"/>
        <bgColor rgb="FFD9EAD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2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5" t="s">
        <v>11</v>
      </c>
    </row>
    <row r="15" customFormat="false" ht="15" hidden="false" customHeight="false" outlineLevel="0" collapsed="false">
      <c r="A15" s="6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10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17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7"/>
      <c r="B2" s="7"/>
      <c r="C2" s="7"/>
      <c r="D2" s="7"/>
      <c r="E2" s="7"/>
      <c r="F2" s="7"/>
    </row>
    <row r="3" customFormat="false" ht="15" hidden="false" customHeight="false" outlineLevel="0" collapsed="false">
      <c r="A3" s="8" t="s">
        <v>18</v>
      </c>
      <c r="B3" s="8" t="s">
        <v>19</v>
      </c>
      <c r="C3" s="8" t="s">
        <v>20</v>
      </c>
      <c r="D3" s="7"/>
      <c r="E3" s="7"/>
      <c r="F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</row>
    <row r="5" customFormat="false" ht="15" hidden="false" customHeight="false" outlineLevel="0" collapsed="false">
      <c r="A5" s="9" t="s">
        <v>21</v>
      </c>
      <c r="B5" s="10"/>
      <c r="C5" s="10"/>
      <c r="D5" s="7"/>
      <c r="E5" s="7"/>
      <c r="F5" s="7"/>
    </row>
    <row r="6" customFormat="false" ht="15" hidden="false" customHeight="false" outlineLevel="0" collapsed="false">
      <c r="A6" s="2" t="s">
        <v>22</v>
      </c>
      <c r="B6" s="11" t="n">
        <v>150</v>
      </c>
      <c r="C6" s="12" t="s">
        <v>23</v>
      </c>
      <c r="D6" s="7"/>
      <c r="E6" s="7"/>
      <c r="F6" s="7"/>
    </row>
    <row r="7" customFormat="false" ht="15" hidden="false" customHeight="false" outlineLevel="0" collapsed="false">
      <c r="A7" s="2" t="s">
        <v>24</v>
      </c>
      <c r="B7" s="13" t="n">
        <v>15</v>
      </c>
      <c r="C7" s="12" t="s">
        <v>25</v>
      </c>
      <c r="D7" s="7"/>
      <c r="E7" s="7"/>
      <c r="F7" s="7"/>
    </row>
    <row r="8" customFormat="false" ht="15" hidden="false" customHeight="false" outlineLevel="0" collapsed="false">
      <c r="A8" s="2" t="s">
        <v>26</v>
      </c>
      <c r="B8" s="14" t="n">
        <v>0.03</v>
      </c>
      <c r="C8" s="12" t="s">
        <v>27</v>
      </c>
      <c r="D8" s="7"/>
      <c r="E8" s="7"/>
      <c r="F8" s="7"/>
    </row>
    <row r="9" customFormat="false" ht="15" hidden="false" customHeight="false" outlineLevel="0" collapsed="false">
      <c r="A9" s="2" t="s">
        <v>28</v>
      </c>
      <c r="B9" s="15" t="n">
        <v>450</v>
      </c>
      <c r="C9" s="12" t="s">
        <v>29</v>
      </c>
      <c r="D9" s="7"/>
      <c r="E9" s="7"/>
      <c r="F9" s="7"/>
    </row>
    <row r="10" customFormat="false" ht="15" hidden="false" customHeight="false" outlineLevel="0" collapsed="false">
      <c r="A10" s="2" t="s">
        <v>30</v>
      </c>
      <c r="B10" s="16" t="n">
        <v>100</v>
      </c>
      <c r="C10" s="12" t="s">
        <v>31</v>
      </c>
      <c r="D10" s="7"/>
      <c r="E10" s="7"/>
      <c r="F10" s="7"/>
    </row>
    <row r="11" customFormat="false" ht="15" hidden="false" customHeight="false" outlineLevel="0" collapsed="false">
      <c r="A11" s="2" t="s">
        <v>32</v>
      </c>
      <c r="B11" s="15" t="n">
        <v>40</v>
      </c>
      <c r="C11" s="12" t="s">
        <v>33</v>
      </c>
      <c r="D11" s="7"/>
      <c r="E11" s="7"/>
      <c r="F11" s="7"/>
    </row>
    <row r="12" customFormat="false" ht="15" hidden="false" customHeight="false" outlineLevel="0" collapsed="false">
      <c r="A12" s="2" t="s">
        <v>34</v>
      </c>
      <c r="B12" s="17" t="n">
        <v>0.04</v>
      </c>
      <c r="C12" s="12" t="s">
        <v>35</v>
      </c>
      <c r="D12" s="7"/>
      <c r="E12" s="7"/>
      <c r="F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</row>
    <row r="14" customFormat="false" ht="15" hidden="false" customHeight="false" outlineLevel="0" collapsed="false">
      <c r="A14" s="9" t="s">
        <v>36</v>
      </c>
      <c r="B14" s="10"/>
      <c r="C14" s="10"/>
      <c r="D14" s="7"/>
      <c r="E14" s="7"/>
      <c r="F14" s="7"/>
    </row>
    <row r="15" customFormat="false" ht="15" hidden="false" customHeight="false" outlineLevel="0" collapsed="false">
      <c r="A15" s="2" t="s">
        <v>37</v>
      </c>
      <c r="B15" s="18" t="n">
        <v>6</v>
      </c>
      <c r="C15" s="12" t="s">
        <v>38</v>
      </c>
      <c r="D15" s="7"/>
      <c r="E15" s="7"/>
      <c r="F15" s="7"/>
    </row>
    <row r="16" customFormat="false" ht="15" hidden="false" customHeight="false" outlineLevel="0" collapsed="false">
      <c r="A16" s="2" t="s">
        <v>39</v>
      </c>
      <c r="B16" s="18" t="n">
        <v>1.5</v>
      </c>
      <c r="C16" s="12" t="s">
        <v>33</v>
      </c>
      <c r="D16" s="7"/>
      <c r="E16" s="7"/>
      <c r="F16" s="7"/>
    </row>
    <row r="17" customFormat="false" ht="15" hidden="false" customHeight="false" outlineLevel="0" collapsed="false">
      <c r="A17" s="2" t="s">
        <v>40</v>
      </c>
      <c r="B17" s="18" t="n">
        <v>2.5</v>
      </c>
      <c r="C17" s="12" t="s">
        <v>41</v>
      </c>
      <c r="D17" s="7"/>
      <c r="E17" s="7"/>
      <c r="F17" s="7"/>
    </row>
    <row r="18" customFormat="false" ht="15" hidden="false" customHeight="false" outlineLevel="0" collapsed="false">
      <c r="A18" s="2" t="s">
        <v>42</v>
      </c>
      <c r="B18" s="16" t="n">
        <v>14</v>
      </c>
      <c r="C18" s="12" t="s">
        <v>43</v>
      </c>
      <c r="D18" s="7"/>
      <c r="E18" s="7"/>
      <c r="F18" s="7"/>
    </row>
    <row r="19" customFormat="false" ht="15" hidden="false" customHeight="false" outlineLevel="0" collapsed="false">
      <c r="A19" s="2" t="s">
        <v>44</v>
      </c>
      <c r="B19" s="16" t="n">
        <v>30</v>
      </c>
      <c r="C19" s="12" t="s">
        <v>45</v>
      </c>
      <c r="D19" s="7"/>
      <c r="E19" s="7"/>
      <c r="F19" s="7"/>
    </row>
    <row r="20" customFormat="false" ht="15" hidden="false" customHeight="false" outlineLevel="0" collapsed="false">
      <c r="A20" s="2" t="s">
        <v>46</v>
      </c>
      <c r="B20" s="15" t="n">
        <v>60</v>
      </c>
      <c r="C20" s="12" t="s">
        <v>47</v>
      </c>
      <c r="D20" s="7"/>
      <c r="E20" s="7"/>
      <c r="F20" s="7"/>
    </row>
    <row r="21" customFormat="false" ht="15" hidden="false" customHeight="false" outlineLevel="0" collapsed="false">
      <c r="A21" s="2" t="s">
        <v>48</v>
      </c>
      <c r="B21" s="17" t="n">
        <v>0.75</v>
      </c>
      <c r="C21" s="12" t="s">
        <v>49</v>
      </c>
      <c r="D21" s="7"/>
      <c r="E21" s="7"/>
      <c r="F21" s="7"/>
    </row>
    <row r="22" customFormat="false" ht="15" hidden="false" customHeight="false" outlineLevel="0" collapsed="false">
      <c r="A22" s="2" t="s">
        <v>50</v>
      </c>
      <c r="B22" s="18" t="n">
        <v>1.2</v>
      </c>
      <c r="C22" s="12" t="s">
        <v>33</v>
      </c>
      <c r="D22" s="7"/>
      <c r="E22" s="7"/>
      <c r="F22" s="7"/>
    </row>
    <row r="23" customFormat="false" ht="15" hidden="false" customHeight="false" outlineLevel="0" collapsed="false">
      <c r="A23" s="2" t="s">
        <v>51</v>
      </c>
      <c r="B23" s="19" t="n">
        <v>1.1</v>
      </c>
      <c r="C23" s="12" t="s">
        <v>33</v>
      </c>
      <c r="D23" s="7"/>
      <c r="E23" s="7"/>
      <c r="F23" s="7"/>
    </row>
    <row r="24" customFormat="false" ht="15" hidden="false" customHeight="false" outlineLevel="0" collapsed="false">
      <c r="A24" s="2" t="s">
        <v>52</v>
      </c>
      <c r="B24" s="19" t="n">
        <v>0.75</v>
      </c>
      <c r="C24" s="12" t="s">
        <v>33</v>
      </c>
      <c r="D24" s="7"/>
      <c r="E24" s="7"/>
      <c r="F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</row>
    <row r="26" customFormat="false" ht="15" hidden="false" customHeight="false" outlineLevel="0" collapsed="false">
      <c r="A26" s="9" t="s">
        <v>53</v>
      </c>
      <c r="B26" s="10"/>
      <c r="C26" s="10"/>
      <c r="D26" s="7"/>
      <c r="E26" s="7"/>
      <c r="F26" s="7"/>
    </row>
    <row r="27" customFormat="false" ht="15" hidden="false" customHeight="false" outlineLevel="0" collapsed="false">
      <c r="A27" s="2" t="s">
        <v>54</v>
      </c>
      <c r="B27" s="20" t="n">
        <v>38</v>
      </c>
      <c r="C27" s="12" t="s">
        <v>55</v>
      </c>
      <c r="D27" s="7"/>
      <c r="E27" s="7"/>
      <c r="F27" s="7"/>
    </row>
    <row r="28" customFormat="false" ht="15" hidden="false" customHeight="false" outlineLevel="0" collapsed="false">
      <c r="A28" s="2" t="s">
        <v>56</v>
      </c>
      <c r="B28" s="14" t="n">
        <v>0.15</v>
      </c>
      <c r="C28" s="12" t="s">
        <v>57</v>
      </c>
      <c r="D28" s="7"/>
      <c r="E28" s="7"/>
      <c r="F28" s="7"/>
    </row>
    <row r="29" customFormat="false" ht="15" hidden="false" customHeight="false" outlineLevel="0" collapsed="false">
      <c r="A29" s="2" t="s">
        <v>58</v>
      </c>
      <c r="B29" s="17" t="n">
        <v>0.75</v>
      </c>
      <c r="C29" s="12" t="s">
        <v>59</v>
      </c>
      <c r="D29" s="7"/>
      <c r="E29" s="7"/>
      <c r="F29" s="7"/>
    </row>
    <row r="30" customFormat="false" ht="15" hidden="false" customHeight="false" outlineLevel="0" collapsed="false">
      <c r="A30" s="2" t="s">
        <v>60</v>
      </c>
      <c r="B30" s="16" t="n">
        <v>80</v>
      </c>
      <c r="C30" s="12" t="s">
        <v>61</v>
      </c>
      <c r="D30" s="7"/>
      <c r="E30" s="7"/>
      <c r="F30" s="7"/>
    </row>
    <row r="31" customFormat="false" ht="15" hidden="false" customHeight="false" outlineLevel="0" collapsed="false">
      <c r="A31" s="2" t="s">
        <v>62</v>
      </c>
      <c r="B31" s="16" t="n">
        <v>4</v>
      </c>
      <c r="C31" s="12" t="s">
        <v>33</v>
      </c>
      <c r="D31" s="7"/>
      <c r="E31" s="7"/>
      <c r="F31" s="7"/>
    </row>
    <row r="32" customFormat="false" ht="15" hidden="false" customHeight="false" outlineLevel="0" collapsed="false">
      <c r="A32" s="2" t="s">
        <v>63</v>
      </c>
      <c r="B32" s="14" t="n">
        <v>0.65</v>
      </c>
      <c r="C32" s="12" t="s">
        <v>33</v>
      </c>
      <c r="D32" s="7"/>
      <c r="E32" s="7"/>
      <c r="F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</row>
    <row r="34" customFormat="false" ht="15" hidden="false" customHeight="false" outlineLevel="0" collapsed="false">
      <c r="A34" s="9" t="s">
        <v>64</v>
      </c>
      <c r="B34" s="10"/>
      <c r="C34" s="10"/>
      <c r="D34" s="7"/>
      <c r="E34" s="7"/>
      <c r="F34" s="7"/>
    </row>
    <row r="35" customFormat="false" ht="15" hidden="false" customHeight="false" outlineLevel="0" collapsed="false">
      <c r="A35" s="2" t="s">
        <v>65</v>
      </c>
      <c r="B35" s="15" t="n">
        <v>3000</v>
      </c>
      <c r="C35" s="12" t="s">
        <v>33</v>
      </c>
      <c r="D35" s="7"/>
      <c r="E35" s="7"/>
      <c r="F35" s="7"/>
    </row>
    <row r="36" customFormat="false" ht="15" hidden="false" customHeight="false" outlineLevel="0" collapsed="false">
      <c r="A36" s="2" t="s">
        <v>66</v>
      </c>
      <c r="B36" s="20" t="n">
        <v>55</v>
      </c>
      <c r="C36" s="12" t="s">
        <v>67</v>
      </c>
      <c r="D36" s="7"/>
      <c r="E36" s="7"/>
      <c r="F36" s="7"/>
    </row>
    <row r="37" customFormat="false" ht="15" hidden="false" customHeight="false" outlineLevel="0" collapsed="false">
      <c r="A37" s="2" t="s">
        <v>68</v>
      </c>
      <c r="B37" s="21" t="n">
        <v>1</v>
      </c>
      <c r="C37" s="12" t="s">
        <v>69</v>
      </c>
      <c r="D37" s="7"/>
      <c r="E37" s="7"/>
      <c r="F37" s="7"/>
    </row>
    <row r="38" customFormat="false" ht="15" hidden="false" customHeight="false" outlineLevel="0" collapsed="false">
      <c r="A38" s="2" t="s">
        <v>70</v>
      </c>
      <c r="B38" s="14" t="n">
        <v>0.18</v>
      </c>
      <c r="C38" s="12" t="s">
        <v>33</v>
      </c>
      <c r="D38" s="7"/>
      <c r="E38" s="7"/>
      <c r="F38" s="7"/>
    </row>
    <row r="39" customFormat="false" ht="15" hidden="false" customHeight="false" outlineLevel="0" collapsed="false">
      <c r="A39" s="2" t="s">
        <v>71</v>
      </c>
      <c r="B39" s="16" t="n">
        <v>45</v>
      </c>
      <c r="C39" s="12" t="s">
        <v>33</v>
      </c>
      <c r="D39" s="7"/>
      <c r="E39" s="7"/>
      <c r="F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</row>
    <row r="41" customFormat="false" ht="15" hidden="false" customHeight="false" outlineLevel="0" collapsed="false">
      <c r="A41" s="9" t="s">
        <v>72</v>
      </c>
      <c r="B41" s="10"/>
      <c r="C41" s="10"/>
      <c r="D41" s="7"/>
      <c r="E41" s="7"/>
      <c r="F41" s="7"/>
    </row>
    <row r="42" customFormat="false" ht="15" hidden="false" customHeight="false" outlineLevel="0" collapsed="false">
      <c r="A42" s="2" t="s">
        <v>73</v>
      </c>
      <c r="B42" s="13" t="n">
        <v>80000</v>
      </c>
      <c r="C42" s="12" t="s">
        <v>33</v>
      </c>
      <c r="D42" s="7"/>
      <c r="E42" s="7"/>
      <c r="F42" s="7"/>
    </row>
    <row r="43" customFormat="false" ht="15" hidden="false" customHeight="false" outlineLevel="0" collapsed="false">
      <c r="A43" s="2" t="s">
        <v>74</v>
      </c>
      <c r="B43" s="19" t="n">
        <v>22</v>
      </c>
      <c r="C43" s="12" t="s">
        <v>33</v>
      </c>
      <c r="D43" s="7"/>
      <c r="E43" s="7"/>
      <c r="F43" s="7"/>
    </row>
    <row r="44" customFormat="false" ht="15" hidden="false" customHeight="false" outlineLevel="0" collapsed="false">
      <c r="A44" s="2" t="s">
        <v>75</v>
      </c>
      <c r="B44" s="18" t="n">
        <v>1.25</v>
      </c>
      <c r="C44" s="12" t="s">
        <v>33</v>
      </c>
      <c r="D44" s="7"/>
      <c r="E44" s="7"/>
      <c r="F44" s="7"/>
    </row>
    <row r="45" customFormat="false" ht="15" hidden="false" customHeight="false" outlineLevel="0" collapsed="false">
      <c r="A45" s="2" t="s">
        <v>76</v>
      </c>
      <c r="B45" s="16" t="n">
        <v>30</v>
      </c>
      <c r="C45" s="12" t="s">
        <v>77</v>
      </c>
      <c r="D45" s="7"/>
      <c r="E45" s="7"/>
      <c r="F45" s="7"/>
    </row>
    <row r="46" customFormat="false" ht="15" hidden="false" customHeight="false" outlineLevel="0" collapsed="false">
      <c r="A46" s="2" t="s">
        <v>78</v>
      </c>
      <c r="B46" s="13" t="n">
        <v>125</v>
      </c>
      <c r="C46" s="12" t="s">
        <v>33</v>
      </c>
      <c r="D46" s="7"/>
      <c r="E46" s="7"/>
      <c r="F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</row>
    <row r="48" customFormat="false" ht="15" hidden="false" customHeight="false" outlineLevel="0" collapsed="false">
      <c r="A48" s="9" t="s">
        <v>79</v>
      </c>
      <c r="B48" s="10"/>
      <c r="C48" s="10"/>
      <c r="D48" s="7"/>
      <c r="E48" s="7"/>
      <c r="F48" s="7"/>
    </row>
    <row r="49" customFormat="false" ht="15" hidden="false" customHeight="false" outlineLevel="0" collapsed="false">
      <c r="A49" s="2" t="s">
        <v>80</v>
      </c>
      <c r="B49" s="13" t="n">
        <v>2500</v>
      </c>
      <c r="C49" s="12" t="s">
        <v>33</v>
      </c>
      <c r="D49" s="7"/>
      <c r="E49" s="7"/>
      <c r="F49" s="7"/>
    </row>
    <row r="50" customFormat="false" ht="15" hidden="false" customHeight="false" outlineLevel="0" collapsed="false">
      <c r="A50" s="2" t="s">
        <v>81</v>
      </c>
      <c r="B50" s="13" t="n">
        <v>3000</v>
      </c>
      <c r="C50" s="12" t="s">
        <v>33</v>
      </c>
      <c r="D50" s="7"/>
      <c r="E50" s="7"/>
      <c r="F50" s="7"/>
    </row>
    <row r="51" customFormat="false" ht="15" hidden="false" customHeight="false" outlineLevel="0" collapsed="false">
      <c r="A51" s="2" t="s">
        <v>82</v>
      </c>
      <c r="B51" s="13" t="n">
        <v>1000</v>
      </c>
      <c r="C51" s="12" t="s">
        <v>33</v>
      </c>
      <c r="D51" s="7"/>
      <c r="E51" s="7"/>
      <c r="F51" s="7"/>
    </row>
    <row r="52" customFormat="false" ht="15" hidden="false" customHeight="false" outlineLevel="0" collapsed="false">
      <c r="A52" s="2" t="s">
        <v>83</v>
      </c>
      <c r="B52" s="13" t="n">
        <v>800</v>
      </c>
      <c r="C52" s="12" t="s">
        <v>33</v>
      </c>
      <c r="D52" s="7"/>
      <c r="E52" s="7"/>
      <c r="F52" s="7"/>
    </row>
    <row r="53" customFormat="false" ht="15" hidden="false" customHeight="false" outlineLevel="0" collapsed="false">
      <c r="A53" s="2" t="s">
        <v>84</v>
      </c>
      <c r="B53" s="13" t="n">
        <v>4000</v>
      </c>
      <c r="C53" s="12" t="s">
        <v>33</v>
      </c>
      <c r="D53" s="7"/>
      <c r="E53" s="7"/>
      <c r="F53" s="7"/>
    </row>
    <row r="54" customFormat="false" ht="15" hidden="false" customHeight="false" outlineLevel="0" collapsed="false">
      <c r="A54" s="2" t="s">
        <v>85</v>
      </c>
      <c r="B54" s="13" t="n">
        <v>1000</v>
      </c>
      <c r="C54" s="12" t="s">
        <v>33</v>
      </c>
      <c r="D54" s="7"/>
      <c r="E54" s="7"/>
      <c r="F54" s="7"/>
    </row>
    <row r="55" customFormat="false" ht="15" hidden="false" customHeight="false" outlineLevel="0" collapsed="false">
      <c r="A55" s="2" t="s">
        <v>86</v>
      </c>
      <c r="B55" s="13" t="n">
        <v>700</v>
      </c>
      <c r="C55" s="12" t="s">
        <v>33</v>
      </c>
      <c r="D55" s="7"/>
      <c r="E55" s="7"/>
      <c r="F55" s="7"/>
    </row>
    <row r="56" customFormat="false" ht="15" hidden="false" customHeight="false" outlineLevel="0" collapsed="false">
      <c r="A56" s="7"/>
      <c r="B56" s="7"/>
      <c r="C56" s="7"/>
      <c r="D56" s="7"/>
      <c r="E56" s="7"/>
      <c r="F56" s="7"/>
    </row>
    <row r="57" customFormat="false" ht="15" hidden="false" customHeight="false" outlineLevel="0" collapsed="false">
      <c r="A57" s="9" t="s">
        <v>87</v>
      </c>
      <c r="B57" s="10"/>
      <c r="C57" s="10"/>
      <c r="D57" s="7"/>
      <c r="E57" s="7"/>
      <c r="F57" s="7"/>
    </row>
    <row r="58" customFormat="false" ht="15" hidden="false" customHeight="false" outlineLevel="0" collapsed="false">
      <c r="A58" s="2" t="s">
        <v>88</v>
      </c>
      <c r="B58" s="11" t="n">
        <v>120</v>
      </c>
      <c r="C58" s="12" t="s">
        <v>89</v>
      </c>
      <c r="D58" s="7"/>
      <c r="E58" s="7"/>
      <c r="F58" s="7"/>
    </row>
    <row r="59" customFormat="false" ht="15" hidden="false" customHeight="false" outlineLevel="0" collapsed="false">
      <c r="A59" s="2" t="s">
        <v>90</v>
      </c>
      <c r="B59" s="13" t="n">
        <v>40</v>
      </c>
      <c r="C59" s="12" t="s">
        <v>91</v>
      </c>
      <c r="D59" s="7"/>
      <c r="E59" s="7"/>
      <c r="F59" s="7"/>
    </row>
    <row r="60" customFormat="false" ht="15" hidden="false" customHeight="false" outlineLevel="0" collapsed="false">
      <c r="A60" s="2" t="s">
        <v>92</v>
      </c>
      <c r="B60" s="13" t="n">
        <v>90000</v>
      </c>
      <c r="C60" s="12" t="s">
        <v>93</v>
      </c>
      <c r="D60" s="7"/>
      <c r="E60" s="7"/>
      <c r="F60" s="7"/>
    </row>
    <row r="61" customFormat="false" ht="15" hidden="false" customHeight="false" outlineLevel="0" collapsed="false">
      <c r="A61" s="2" t="s">
        <v>94</v>
      </c>
      <c r="B61" s="13" t="n">
        <v>70000</v>
      </c>
      <c r="C61" s="12" t="s">
        <v>33</v>
      </c>
      <c r="D61" s="7"/>
      <c r="E61" s="7"/>
      <c r="F61" s="7"/>
    </row>
    <row r="62" customFormat="false" ht="15" hidden="false" customHeight="false" outlineLevel="0" collapsed="false">
      <c r="A62" s="7"/>
      <c r="B62" s="7"/>
      <c r="C62" s="7"/>
      <c r="D62" s="7"/>
      <c r="E62" s="7"/>
      <c r="F62" s="7"/>
    </row>
    <row r="63" customFormat="false" ht="15" hidden="false" customHeight="false" outlineLevel="0" collapsed="false">
      <c r="A63" s="9" t="s">
        <v>95</v>
      </c>
      <c r="B63" s="10"/>
      <c r="C63" s="10"/>
      <c r="D63" s="7"/>
      <c r="E63" s="7"/>
      <c r="F63" s="7"/>
    </row>
    <row r="64" customFormat="false" ht="15" hidden="false" customHeight="false" outlineLevel="0" collapsed="false">
      <c r="A64" s="3" t="s">
        <v>96</v>
      </c>
      <c r="B64" s="3" t="s">
        <v>97</v>
      </c>
      <c r="C64" s="3" t="s">
        <v>98</v>
      </c>
      <c r="D64" s="3" t="s">
        <v>99</v>
      </c>
      <c r="E64" s="3" t="s">
        <v>100</v>
      </c>
      <c r="F64" s="3" t="s">
        <v>101</v>
      </c>
    </row>
    <row r="65" customFormat="false" ht="15" hidden="false" customHeight="false" outlineLevel="0" collapsed="false">
      <c r="A65" s="7" t="s">
        <v>102</v>
      </c>
      <c r="B65" s="16" t="n">
        <v>1</v>
      </c>
      <c r="C65" s="16" t="n">
        <v>1</v>
      </c>
      <c r="D65" s="16" t="n">
        <v>2</v>
      </c>
      <c r="E65" s="16" t="n">
        <v>4</v>
      </c>
      <c r="F65" s="16" t="n">
        <v>6</v>
      </c>
    </row>
    <row r="66" customFormat="false" ht="15" hidden="false" customHeight="false" outlineLevel="0" collapsed="false">
      <c r="A66" s="7" t="s">
        <v>103</v>
      </c>
      <c r="B66" s="13" t="n">
        <v>150000</v>
      </c>
      <c r="C66" s="13" t="n">
        <v>400000</v>
      </c>
      <c r="D66" s="13" t="n">
        <v>800000</v>
      </c>
      <c r="E66" s="13" t="n">
        <v>1400000</v>
      </c>
      <c r="F66" s="13" t="n">
        <v>2200000</v>
      </c>
    </row>
    <row r="67" customFormat="false" ht="15" hidden="false" customHeight="false" outlineLevel="0" collapsed="false">
      <c r="A67" s="12" t="s">
        <v>104</v>
      </c>
      <c r="B67" s="7"/>
      <c r="C67" s="7"/>
      <c r="D67" s="7"/>
      <c r="E67" s="7"/>
      <c r="F6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105</v>
      </c>
      <c r="B1" s="7"/>
      <c r="C1" s="7"/>
    </row>
    <row r="2" customFormat="false" ht="15" hidden="false" customHeight="false" outlineLevel="0" collapsed="false">
      <c r="A2" s="12" t="s">
        <v>106</v>
      </c>
      <c r="B2" s="7"/>
      <c r="C2" s="7"/>
    </row>
    <row r="3" customFormat="false" ht="15" hidden="false" customHeight="false" outlineLevel="0" collapsed="false">
      <c r="A3" s="7"/>
      <c r="B3" s="7"/>
      <c r="C3" s="7"/>
    </row>
    <row r="4" customFormat="false" ht="15" hidden="false" customHeight="false" outlineLevel="0" collapsed="false">
      <c r="A4" s="8" t="s">
        <v>107</v>
      </c>
      <c r="B4" s="8" t="s">
        <v>108</v>
      </c>
      <c r="C4" s="8" t="s">
        <v>109</v>
      </c>
    </row>
    <row r="5" customFormat="false" ht="15" hidden="false" customHeight="false" outlineLevel="0" collapsed="false">
      <c r="A5" s="2" t="s">
        <v>107</v>
      </c>
      <c r="B5" s="22" t="n">
        <f aca="false">Inputs!$B$9</f>
        <v>450</v>
      </c>
      <c r="C5" s="7"/>
    </row>
    <row r="6" customFormat="false" ht="15" hidden="false" customHeight="false" outlineLevel="0" collapsed="false">
      <c r="A6" s="7"/>
      <c r="B6" s="7"/>
      <c r="C6" s="7"/>
    </row>
    <row r="7" customFormat="false" ht="15" hidden="false" customHeight="false" outlineLevel="0" collapsed="false">
      <c r="A7" s="8" t="s">
        <v>110</v>
      </c>
      <c r="B7" s="8" t="s">
        <v>108</v>
      </c>
      <c r="C7" s="8" t="s">
        <v>109</v>
      </c>
    </row>
    <row r="8" customFormat="false" ht="15" hidden="false" customHeight="false" outlineLevel="0" collapsed="false">
      <c r="A8" s="2" t="s">
        <v>111</v>
      </c>
      <c r="B8" s="23" t="n">
        <f aca="false">$B$5*Inputs!$B$6</f>
        <v>67500</v>
      </c>
      <c r="C8" s="24" t="n">
        <f aca="false">IF($B$5=0,0,B8/$B$5)</f>
        <v>150</v>
      </c>
    </row>
    <row r="9" customFormat="false" ht="15" hidden="false" customHeight="false" outlineLevel="0" collapsed="false">
      <c r="A9" s="2" t="s">
        <v>112</v>
      </c>
      <c r="B9" s="23" t="n">
        <f aca="false">$B$5*Inputs!$B$7</f>
        <v>6750</v>
      </c>
      <c r="C9" s="24" t="n">
        <f aca="false">IF($B$5=0,0,B9/$B$5)</f>
        <v>15</v>
      </c>
    </row>
    <row r="10" customFormat="false" ht="15" hidden="false" customHeight="false" outlineLevel="0" collapsed="false">
      <c r="A10" s="3" t="s">
        <v>113</v>
      </c>
      <c r="B10" s="25" t="n">
        <f aca="false">$B$8+$B$9</f>
        <v>74250</v>
      </c>
      <c r="C10" s="24" t="n">
        <f aca="false">IF($B$5=0,0,B10/$B$5)</f>
        <v>165</v>
      </c>
    </row>
    <row r="11" customFormat="false" ht="15" hidden="false" customHeight="false" outlineLevel="0" collapsed="false">
      <c r="A11" s="7"/>
      <c r="B11" s="7"/>
      <c r="C11" s="7"/>
    </row>
    <row r="12" customFormat="false" ht="15" hidden="false" customHeight="false" outlineLevel="0" collapsed="false">
      <c r="A12" s="8" t="s">
        <v>114</v>
      </c>
      <c r="B12" s="8" t="s">
        <v>108</v>
      </c>
      <c r="C12" s="8" t="s">
        <v>109</v>
      </c>
    </row>
    <row r="13" customFormat="false" ht="15" hidden="false" customHeight="false" outlineLevel="0" collapsed="false">
      <c r="A13" s="2" t="s">
        <v>115</v>
      </c>
      <c r="B13" s="23" t="n">
        <f aca="false">$B$10*Inputs!$B$8</f>
        <v>2227.5</v>
      </c>
      <c r="C13" s="24" t="n">
        <f aca="false">IF($B$5=0,0,B13/$B$5)</f>
        <v>4.95</v>
      </c>
    </row>
    <row r="14" customFormat="false" ht="15" hidden="false" customHeight="false" outlineLevel="0" collapsed="false">
      <c r="A14" s="2" t="s">
        <v>116</v>
      </c>
      <c r="B14" s="23" t="n">
        <f aca="false">$B$5*Inputs!$B$20/60*Inputs!$B$21/Inputs!$B$29*Inputs!$B$27*(1+Inputs!$B$28)</f>
        <v>19665</v>
      </c>
      <c r="C14" s="24" t="n">
        <f aca="false">IF($B$5=0,0,B14/$B$5)</f>
        <v>43.7</v>
      </c>
    </row>
    <row r="15" customFormat="false" ht="15" hidden="false" customHeight="false" outlineLevel="0" collapsed="false">
      <c r="A15" s="2" t="s">
        <v>117</v>
      </c>
      <c r="B15" s="23" t="n">
        <f aca="false">$B$5*Inputs!$B$15*Inputs!$B$22*Inputs!$B$23</f>
        <v>3564</v>
      </c>
      <c r="C15" s="24" t="n">
        <f aca="false">IF($B$5=0,0,B15/$B$5)</f>
        <v>7.92</v>
      </c>
    </row>
    <row r="16" customFormat="false" ht="15" hidden="false" customHeight="false" outlineLevel="0" collapsed="false">
      <c r="A16" s="2" t="s">
        <v>118</v>
      </c>
      <c r="B16" s="23" t="n">
        <f aca="false">$B$5*Inputs!$B$15*Inputs!$B$24</f>
        <v>2025</v>
      </c>
      <c r="C16" s="24" t="n">
        <f aca="false">IF($B$5=0,0,B16/$B$5)</f>
        <v>4.5</v>
      </c>
    </row>
    <row r="17" customFormat="false" ht="15" hidden="false" customHeight="false" outlineLevel="0" collapsed="false">
      <c r="A17" s="3" t="s">
        <v>119</v>
      </c>
      <c r="B17" s="25" t="n">
        <f aca="false">SUM($B$13:$B$16)</f>
        <v>27481.5</v>
      </c>
      <c r="C17" s="24" t="n">
        <f aca="false">IF($B$5=0,0,B17/$B$5)</f>
        <v>61.07</v>
      </c>
    </row>
    <row r="18" customFormat="false" ht="15" hidden="false" customHeight="false" outlineLevel="0" collapsed="false">
      <c r="A18" s="3" t="s">
        <v>120</v>
      </c>
      <c r="B18" s="25" t="n">
        <f aca="false">$B$10-$B$17</f>
        <v>46768.5</v>
      </c>
      <c r="C18" s="24" t="n">
        <f aca="false">IF($B$5=0,0,B18/$B$5)</f>
        <v>103.93</v>
      </c>
    </row>
    <row r="19" customFormat="false" ht="15" hidden="false" customHeight="false" outlineLevel="0" collapsed="false">
      <c r="A19" s="7"/>
      <c r="B19" s="7"/>
      <c r="C19" s="7"/>
    </row>
    <row r="20" customFormat="false" ht="15" hidden="false" customHeight="false" outlineLevel="0" collapsed="false">
      <c r="A20" s="8" t="s">
        <v>121</v>
      </c>
      <c r="B20" s="8" t="s">
        <v>108</v>
      </c>
      <c r="C20" s="8" t="s">
        <v>109</v>
      </c>
    </row>
    <row r="21" customFormat="false" ht="15" hidden="false" customHeight="false" outlineLevel="0" collapsed="false">
      <c r="A21" s="2" t="s">
        <v>122</v>
      </c>
      <c r="B21" s="23" t="n">
        <f aca="false">IF(Inputs!$B$37=2,$B$10*Inputs!$B$38,Inputs!$B$35*Inputs!$B$36/12)</f>
        <v>13750</v>
      </c>
      <c r="C21" s="24" t="n">
        <f aca="false">IF($B$5=0,0,B21/$B$5)</f>
        <v>30.5555555555556</v>
      </c>
    </row>
    <row r="22" customFormat="false" ht="15" hidden="false" customHeight="false" outlineLevel="0" collapsed="false">
      <c r="A22" s="2" t="s">
        <v>123</v>
      </c>
      <c r="B22" s="23" t="n">
        <f aca="false">Inputs!$B$42*(1+Inputs!$B$28)/12</f>
        <v>7666.66666666667</v>
      </c>
      <c r="C22" s="24" t="n">
        <f aca="false">IF($B$5=0,0,B22/$B$5)</f>
        <v>17.037037037037</v>
      </c>
    </row>
    <row r="23" customFormat="false" ht="15" hidden="false" customHeight="false" outlineLevel="0" collapsed="false">
      <c r="A23" s="2" t="s">
        <v>124</v>
      </c>
      <c r="B23" s="23" t="n">
        <f aca="false">Inputs!$B$18*Inputs!$B$19*Inputs!$B$44*Inputs!$B$43*(1+Inputs!$B$28)</f>
        <v>13282.5</v>
      </c>
      <c r="C23" s="24" t="n">
        <f aca="false">IF($B$5=0,0,B23/$B$5)</f>
        <v>29.5166666666667</v>
      </c>
    </row>
    <row r="24" customFormat="false" ht="15" hidden="false" customHeight="false" outlineLevel="0" collapsed="false">
      <c r="A24" s="2" t="s">
        <v>125</v>
      </c>
      <c r="B24" s="23" t="n">
        <f aca="false">Inputs!$B$45*Inputs!$B$46</f>
        <v>3750</v>
      </c>
      <c r="C24" s="24" t="n">
        <f aca="false">IF($B$5=0,0,B24/$B$5)</f>
        <v>8.33333333333333</v>
      </c>
    </row>
    <row r="25" customFormat="false" ht="15" hidden="false" customHeight="false" outlineLevel="0" collapsed="false">
      <c r="A25" s="2" t="s">
        <v>126</v>
      </c>
      <c r="B25" s="23" t="n">
        <f aca="false">Inputs!$B$49+Inputs!$B$50+Inputs!$B$51+Inputs!$B$52+Inputs!$B$53+Inputs!$B$54+Inputs!$B$55</f>
        <v>13000</v>
      </c>
      <c r="C25" s="24" t="n">
        <f aca="false">IF($B$5=0,0,B25/$B$5)</f>
        <v>28.8888888888889</v>
      </c>
    </row>
    <row r="26" customFormat="false" ht="15" hidden="false" customHeight="false" outlineLevel="0" collapsed="false">
      <c r="A26" s="3" t="s">
        <v>127</v>
      </c>
      <c r="B26" s="25" t="n">
        <f aca="false">SUM($B$21:$B$25)</f>
        <v>51449.1666666667</v>
      </c>
      <c r="C26" s="24" t="n">
        <f aca="false">IF($B$5=0,0,B26/$B$5)</f>
        <v>114.331481481481</v>
      </c>
    </row>
    <row r="27" customFormat="false" ht="15" hidden="false" customHeight="false" outlineLevel="0" collapsed="false">
      <c r="A27" s="7"/>
      <c r="B27" s="7"/>
      <c r="C27" s="7"/>
    </row>
    <row r="28" customFormat="false" ht="15" hidden="false" customHeight="false" outlineLevel="0" collapsed="false">
      <c r="A28" s="8" t="s">
        <v>128</v>
      </c>
      <c r="B28" s="8" t="s">
        <v>108</v>
      </c>
      <c r="C28" s="8" t="s">
        <v>109</v>
      </c>
    </row>
    <row r="29" customFormat="false" ht="15" hidden="false" customHeight="false" outlineLevel="0" collapsed="false">
      <c r="A29" s="3" t="s">
        <v>129</v>
      </c>
      <c r="B29" s="25" t="n">
        <f aca="false">$B$18-$B$26</f>
        <v>-4680.66666666666</v>
      </c>
      <c r="C29" s="24" t="n">
        <f aca="false">IF($B$5=0,0,B29/$B$5)</f>
        <v>-10.4014814814815</v>
      </c>
    </row>
    <row r="30" customFormat="false" ht="15" hidden="false" customHeight="false" outlineLevel="0" collapsed="false">
      <c r="A30" s="3" t="s">
        <v>130</v>
      </c>
      <c r="B30" s="26" t="n">
        <f aca="false">IF($B$10=0,0,$B$29/$B$10)</f>
        <v>-0.0630392817059483</v>
      </c>
      <c r="C30" s="7"/>
    </row>
    <row r="31" customFormat="false" ht="15" hidden="false" customHeight="false" outlineLevel="0" collapsed="false">
      <c r="A31" s="3" t="s">
        <v>131</v>
      </c>
      <c r="B31" s="25" t="n">
        <f aca="false">$B$29*12</f>
        <v>-56168</v>
      </c>
      <c r="C31" s="7"/>
    </row>
    <row r="32" customFormat="false" ht="15" hidden="false" customHeight="false" outlineLevel="0" collapsed="false">
      <c r="A32" s="7"/>
      <c r="B32" s="7"/>
      <c r="C32" s="7"/>
    </row>
    <row r="33" customFormat="false" ht="15" hidden="false" customHeight="false" outlineLevel="0" collapsed="false">
      <c r="A33" s="8" t="s">
        <v>132</v>
      </c>
      <c r="B33" s="8" t="s">
        <v>108</v>
      </c>
      <c r="C33" s="8" t="s">
        <v>109</v>
      </c>
    </row>
    <row r="34" customFormat="false" ht="15" hidden="false" customHeight="false" outlineLevel="0" collapsed="false">
      <c r="A34" s="2" t="s">
        <v>133</v>
      </c>
      <c r="B34" s="27" t="n">
        <f aca="false">(Inputs!$B$6+Inputs!$B$7)*(1-Inputs!$B$8)</f>
        <v>160.05</v>
      </c>
      <c r="C34" s="7"/>
    </row>
    <row r="35" customFormat="false" ht="15" hidden="false" customHeight="false" outlineLevel="0" collapsed="false">
      <c r="A35" s="2" t="s">
        <v>134</v>
      </c>
      <c r="B35" s="27" t="n">
        <f aca="false">Inputs!$B$20/60*Inputs!$B$21/Inputs!$B$29*Inputs!$B$27*(1+Inputs!$B$28)</f>
        <v>43.7</v>
      </c>
      <c r="C35" s="7"/>
    </row>
    <row r="36" customFormat="false" ht="15" hidden="false" customHeight="false" outlineLevel="0" collapsed="false">
      <c r="A36" s="2" t="s">
        <v>135</v>
      </c>
      <c r="B36" s="27" t="n">
        <f aca="false">Inputs!$B$15*(Inputs!$B$22*Inputs!$B$23+Inputs!$B$24)</f>
        <v>12.42</v>
      </c>
      <c r="C36" s="7"/>
    </row>
    <row r="37" customFormat="false" ht="15" hidden="false" customHeight="false" outlineLevel="0" collapsed="false">
      <c r="A37" s="3" t="s">
        <v>136</v>
      </c>
      <c r="B37" s="28" t="n">
        <f aca="false">$B$34-$B$35-$B$36</f>
        <v>103.93</v>
      </c>
      <c r="C37" s="7"/>
    </row>
    <row r="38" customFormat="false" ht="15" hidden="false" customHeight="false" outlineLevel="0" collapsed="false">
      <c r="A38" s="2" t="s">
        <v>137</v>
      </c>
      <c r="B38" s="23" t="n">
        <f aca="false">$B$26-$B$21+Inputs!$B$35*Inputs!$B$36/12</f>
        <v>51449.1666666667</v>
      </c>
      <c r="C38" s="7"/>
    </row>
    <row r="39" customFormat="false" ht="15" hidden="false" customHeight="false" outlineLevel="0" collapsed="false">
      <c r="A39" s="3" t="s">
        <v>138</v>
      </c>
      <c r="B39" s="29" t="n">
        <f aca="false">IF($B$37&lt;=0,"Never",ROUNDUP($B$38/$B$37,0))</f>
        <v>496</v>
      </c>
      <c r="C39" s="7"/>
    </row>
    <row r="40" customFormat="false" ht="15" hidden="false" customHeight="false" outlineLevel="0" collapsed="false">
      <c r="A40" s="3" t="s">
        <v>139</v>
      </c>
      <c r="B40" s="29" t="n">
        <f aca="false">IF($B$37-(Inputs!$B$6+Inputs!$B$7)*Inputs!$B$38&lt;=0,"Never",ROUNDUP(($B$38-Inputs!$B$35*Inputs!$B$36/12)/($B$37-(Inputs!$B$6+Inputs!$B$7)*Inputs!$B$38),0))</f>
        <v>508</v>
      </c>
      <c r="C40" s="7"/>
    </row>
    <row r="41" customFormat="false" ht="15" hidden="false" customHeight="false" outlineLevel="0" collapsed="false">
      <c r="A41" s="7"/>
      <c r="B41" s="7"/>
      <c r="C41" s="7"/>
    </row>
    <row r="42" customFormat="false" ht="15" hidden="false" customHeight="false" outlineLevel="0" collapsed="false">
      <c r="A42" s="8" t="s">
        <v>140</v>
      </c>
      <c r="B42" s="8" t="s">
        <v>108</v>
      </c>
      <c r="C42" s="8" t="s">
        <v>109</v>
      </c>
    </row>
    <row r="43" customFormat="false" ht="15" hidden="false" customHeight="false" outlineLevel="0" collapsed="false">
      <c r="A43" s="2" t="s">
        <v>141</v>
      </c>
      <c r="B43" s="30" t="n">
        <f aca="false">$B$5*Inputs!$B$15/Inputs!$B$19*Inputs!$B$16/Inputs!$B$18*Inputs!$B$17</f>
        <v>24.1071428571429</v>
      </c>
      <c r="C43" s="7"/>
    </row>
    <row r="44" customFormat="false" ht="15" hidden="false" customHeight="false" outlineLevel="0" collapsed="false">
      <c r="A44" s="2" t="s">
        <v>71</v>
      </c>
      <c r="B44" s="22" t="n">
        <f aca="false">Inputs!$B$39</f>
        <v>45</v>
      </c>
      <c r="C44" s="7"/>
    </row>
    <row r="45" customFormat="false" ht="15" hidden="false" customHeight="false" outlineLevel="0" collapsed="false">
      <c r="A45" s="3" t="s">
        <v>142</v>
      </c>
      <c r="B45" s="31" t="str">
        <f aca="false">IF($B$43&lt;=$B$44,"OK","Over capacity")</f>
        <v>OK</v>
      </c>
      <c r="C45" s="7"/>
    </row>
    <row r="46" customFormat="false" ht="15" hidden="false" customHeight="false" outlineLevel="0" collapsed="false">
      <c r="A46" s="2" t="s">
        <v>143</v>
      </c>
      <c r="B46" s="32" t="n">
        <f aca="false">$B$5*Inputs!$B$20/60*Inputs!$B$21</f>
        <v>337.5</v>
      </c>
      <c r="C46" s="7"/>
    </row>
    <row r="47" customFormat="false" ht="15" hidden="false" customHeight="false" outlineLevel="0" collapsed="false">
      <c r="A47" s="2" t="s">
        <v>144</v>
      </c>
      <c r="B47" s="32" t="n">
        <f aca="false">Inputs!$B$31*Inputs!$B$18*Inputs!$B$19*Inputs!$B$32</f>
        <v>1092</v>
      </c>
      <c r="C47" s="7"/>
    </row>
    <row r="48" customFormat="false" ht="15" hidden="false" customHeight="false" outlineLevel="0" collapsed="false">
      <c r="A48" s="3" t="s">
        <v>145</v>
      </c>
      <c r="B48" s="31" t="str">
        <f aca="false">IF($B$46&lt;=$B$47,"OK","Need more rooms")</f>
        <v>OK</v>
      </c>
      <c r="C48" s="7"/>
    </row>
    <row r="49" customFormat="false" ht="15" hidden="false" customHeight="false" outlineLevel="0" collapsed="false">
      <c r="A49" s="2" t="s">
        <v>146</v>
      </c>
      <c r="B49" s="32" t="n">
        <f aca="false">IF(Inputs!$B$20*Inputs!$B$21=0,0,ROUNDDOWN($B$47/(Inputs!$B$20/60*Inputs!$B$21),0))</f>
        <v>1456</v>
      </c>
      <c r="C49" s="7"/>
    </row>
    <row r="50" customFormat="false" ht="15" hidden="false" customHeight="false" outlineLevel="0" collapsed="false">
      <c r="A50" s="2" t="s">
        <v>147</v>
      </c>
      <c r="B50" s="32" t="n">
        <f aca="false">ROUNDUP($B$46/Inputs!$B$29/Inputs!$B$30,0)</f>
        <v>6</v>
      </c>
      <c r="C50" s="7"/>
    </row>
    <row r="51" customFormat="false" ht="15" hidden="false" customHeight="false" outlineLevel="0" collapsed="false">
      <c r="A51" s="7"/>
      <c r="B51" s="7"/>
      <c r="C51" s="7"/>
    </row>
    <row r="52" customFormat="false" ht="15" hidden="false" customHeight="false" outlineLevel="0" collapsed="false">
      <c r="A52" s="8" t="s">
        <v>148</v>
      </c>
      <c r="B52" s="8" t="s">
        <v>108</v>
      </c>
      <c r="C52" s="8" t="s">
        <v>109</v>
      </c>
    </row>
    <row r="53" customFormat="false" ht="15" hidden="false" customHeight="false" outlineLevel="0" collapsed="false">
      <c r="A53" s="2" t="s">
        <v>149</v>
      </c>
      <c r="B53" s="23" t="n">
        <f aca="false">Inputs!$B$35*MAX(0,Inputs!$B$58-Inputs!$B$59)</f>
        <v>240000</v>
      </c>
      <c r="C53" s="7"/>
    </row>
    <row r="54" customFormat="false" ht="15" hidden="false" customHeight="false" outlineLevel="0" collapsed="false">
      <c r="A54" s="2" t="s">
        <v>92</v>
      </c>
      <c r="B54" s="33" t="n">
        <f aca="false">Inputs!$B$60</f>
        <v>90000</v>
      </c>
      <c r="C54" s="7"/>
    </row>
    <row r="55" customFormat="false" ht="15" hidden="false" customHeight="false" outlineLevel="0" collapsed="false">
      <c r="A55" s="2" t="s">
        <v>150</v>
      </c>
      <c r="B55" s="33" t="n">
        <f aca="false">Inputs!$B$61</f>
        <v>70000</v>
      </c>
      <c r="C55" s="7"/>
    </row>
    <row r="56" customFormat="false" ht="15" hidden="false" customHeight="false" outlineLevel="0" collapsed="false">
      <c r="A56" s="3" t="s">
        <v>151</v>
      </c>
      <c r="B56" s="25" t="n">
        <f aca="false">SUM($B$53:$B$55)</f>
        <v>400000</v>
      </c>
      <c r="C56" s="7"/>
    </row>
    <row r="57" customFormat="false" ht="15" hidden="false" customHeight="false" outlineLevel="0" collapsed="false">
      <c r="A57" s="3" t="s">
        <v>152</v>
      </c>
      <c r="B57" s="34" t="str">
        <f aca="false">IF($B$31&lt;=0,"Never",$B$56/$B$31)</f>
        <v>Never</v>
      </c>
      <c r="C5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8" min="2" style="0" width="11"/>
  </cols>
  <sheetData>
    <row r="1" customFormat="false" ht="17.35" hidden="false" customHeight="false" outlineLevel="0" collapsed="false">
      <c r="A1" s="1" t="s">
        <v>153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5" hidden="false" customHeight="false" outlineLevel="0" collapsed="false">
      <c r="A2" s="12" t="s">
        <v>154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5" hidden="false" customHeight="false" outlineLevel="0" collapsed="false">
      <c r="A4" s="3" t="s">
        <v>155</v>
      </c>
      <c r="B4" s="9" t="n">
        <v>0</v>
      </c>
      <c r="C4" s="9" t="n">
        <v>1</v>
      </c>
      <c r="D4" s="9" t="n">
        <v>2</v>
      </c>
      <c r="E4" s="9" t="n">
        <v>3</v>
      </c>
      <c r="F4" s="9" t="n">
        <v>4</v>
      </c>
      <c r="G4" s="9" t="n">
        <v>5</v>
      </c>
      <c r="H4" s="9" t="n">
        <v>6</v>
      </c>
      <c r="I4" s="9" t="n">
        <v>7</v>
      </c>
      <c r="J4" s="9" t="n">
        <v>8</v>
      </c>
      <c r="K4" s="9" t="n">
        <v>9</v>
      </c>
      <c r="L4" s="9" t="n">
        <v>10</v>
      </c>
      <c r="M4" s="9" t="n">
        <v>11</v>
      </c>
      <c r="N4" s="9" t="n">
        <v>12</v>
      </c>
      <c r="O4" s="9" t="n">
        <v>13</v>
      </c>
      <c r="P4" s="9" t="n">
        <v>14</v>
      </c>
      <c r="Q4" s="9" t="n">
        <v>15</v>
      </c>
      <c r="R4" s="9" t="n">
        <v>16</v>
      </c>
      <c r="S4" s="9" t="n">
        <v>17</v>
      </c>
      <c r="T4" s="9" t="n">
        <v>18</v>
      </c>
      <c r="U4" s="9" t="n">
        <v>19</v>
      </c>
      <c r="V4" s="9" t="n">
        <v>20</v>
      </c>
      <c r="W4" s="9" t="n">
        <v>21</v>
      </c>
      <c r="X4" s="9" t="n">
        <v>22</v>
      </c>
      <c r="Y4" s="9" t="n">
        <v>23</v>
      </c>
      <c r="Z4" s="9" t="n">
        <v>24</v>
      </c>
      <c r="AA4" s="9" t="n">
        <v>25</v>
      </c>
      <c r="AB4" s="9" t="n">
        <v>26</v>
      </c>
      <c r="AC4" s="9" t="n">
        <v>27</v>
      </c>
      <c r="AD4" s="9" t="n">
        <v>28</v>
      </c>
      <c r="AE4" s="9" t="n">
        <v>29</v>
      </c>
      <c r="AF4" s="9" t="n">
        <v>30</v>
      </c>
      <c r="AG4" s="9" t="n">
        <v>31</v>
      </c>
      <c r="AH4" s="9" t="n">
        <v>32</v>
      </c>
      <c r="AI4" s="9" t="n">
        <v>33</v>
      </c>
      <c r="AJ4" s="9" t="n">
        <v>34</v>
      </c>
      <c r="AK4" s="9" t="n">
        <v>35</v>
      </c>
      <c r="AL4" s="9" t="n">
        <v>36</v>
      </c>
    </row>
    <row r="5" customFormat="false" ht="15" hidden="false" customHeight="false" outlineLevel="0" collapsed="false">
      <c r="A5" s="2" t="s">
        <v>107</v>
      </c>
      <c r="B5" s="32" t="n">
        <v>0</v>
      </c>
      <c r="C5" s="32" t="n">
        <f aca="false">Inputs!$B$10</f>
        <v>100</v>
      </c>
      <c r="D5" s="32" t="n">
        <f aca="false">MIN(Inputs!$B$9,C5*(1-Inputs!$B$12)+Inputs!$B$11)</f>
        <v>136</v>
      </c>
      <c r="E5" s="32" t="n">
        <f aca="false">MIN(Inputs!$B$9,D5*(1-Inputs!$B$12)+Inputs!$B$11)</f>
        <v>170.56</v>
      </c>
      <c r="F5" s="32" t="n">
        <f aca="false">MIN(Inputs!$B$9,E5*(1-Inputs!$B$12)+Inputs!$B$11)</f>
        <v>203.7376</v>
      </c>
      <c r="G5" s="32" t="n">
        <f aca="false">MIN(Inputs!$B$9,F5*(1-Inputs!$B$12)+Inputs!$B$11)</f>
        <v>235.588096</v>
      </c>
      <c r="H5" s="32" t="n">
        <f aca="false">MIN(Inputs!$B$9,G5*(1-Inputs!$B$12)+Inputs!$B$11)</f>
        <v>266.16457216</v>
      </c>
      <c r="I5" s="32" t="n">
        <f aca="false">MIN(Inputs!$B$9,H5*(1-Inputs!$B$12)+Inputs!$B$11)</f>
        <v>295.5179892736</v>
      </c>
      <c r="J5" s="32" t="n">
        <f aca="false">MIN(Inputs!$B$9,I5*(1-Inputs!$B$12)+Inputs!$B$11)</f>
        <v>323.697269702656</v>
      </c>
      <c r="K5" s="32" t="n">
        <f aca="false">MIN(Inputs!$B$9,J5*(1-Inputs!$B$12)+Inputs!$B$11)</f>
        <v>350.74937891455</v>
      </c>
      <c r="L5" s="32" t="n">
        <f aca="false">MIN(Inputs!$B$9,K5*(1-Inputs!$B$12)+Inputs!$B$11)</f>
        <v>376.719403757968</v>
      </c>
      <c r="M5" s="32" t="n">
        <f aca="false">MIN(Inputs!$B$9,L5*(1-Inputs!$B$12)+Inputs!$B$11)</f>
        <v>401.650627607649</v>
      </c>
      <c r="N5" s="32" t="n">
        <f aca="false">MIN(Inputs!$B$9,M5*(1-Inputs!$B$12)+Inputs!$B$11)</f>
        <v>425.584602503343</v>
      </c>
      <c r="O5" s="32" t="n">
        <f aca="false">MIN(Inputs!$B$9,N5*(1-Inputs!$B$12)+Inputs!$B$11)</f>
        <v>448.561218403209</v>
      </c>
      <c r="P5" s="32" t="n">
        <f aca="false">MIN(Inputs!$B$9,O5*(1-Inputs!$B$12)+Inputs!$B$11)</f>
        <v>450</v>
      </c>
      <c r="Q5" s="32" t="n">
        <f aca="false">MIN(Inputs!$B$9,P5*(1-Inputs!$B$12)+Inputs!$B$11)</f>
        <v>450</v>
      </c>
      <c r="R5" s="32" t="n">
        <f aca="false">MIN(Inputs!$B$9,Q5*(1-Inputs!$B$12)+Inputs!$B$11)</f>
        <v>450</v>
      </c>
      <c r="S5" s="32" t="n">
        <f aca="false">MIN(Inputs!$B$9,R5*(1-Inputs!$B$12)+Inputs!$B$11)</f>
        <v>450</v>
      </c>
      <c r="T5" s="32" t="n">
        <f aca="false">MIN(Inputs!$B$9,S5*(1-Inputs!$B$12)+Inputs!$B$11)</f>
        <v>450</v>
      </c>
      <c r="U5" s="32" t="n">
        <f aca="false">MIN(Inputs!$B$9,T5*(1-Inputs!$B$12)+Inputs!$B$11)</f>
        <v>450</v>
      </c>
      <c r="V5" s="32" t="n">
        <f aca="false">MIN(Inputs!$B$9,U5*(1-Inputs!$B$12)+Inputs!$B$11)</f>
        <v>450</v>
      </c>
      <c r="W5" s="32" t="n">
        <f aca="false">MIN(Inputs!$B$9,V5*(1-Inputs!$B$12)+Inputs!$B$11)</f>
        <v>450</v>
      </c>
      <c r="X5" s="32" t="n">
        <f aca="false">MIN(Inputs!$B$9,W5*(1-Inputs!$B$12)+Inputs!$B$11)</f>
        <v>450</v>
      </c>
      <c r="Y5" s="32" t="n">
        <f aca="false">MIN(Inputs!$B$9,X5*(1-Inputs!$B$12)+Inputs!$B$11)</f>
        <v>450</v>
      </c>
      <c r="Z5" s="32" t="n">
        <f aca="false">MIN(Inputs!$B$9,Y5*(1-Inputs!$B$12)+Inputs!$B$11)</f>
        <v>450</v>
      </c>
      <c r="AA5" s="32" t="n">
        <f aca="false">MIN(Inputs!$B$9,Z5*(1-Inputs!$B$12)+Inputs!$B$11)</f>
        <v>450</v>
      </c>
      <c r="AB5" s="32" t="n">
        <f aca="false">MIN(Inputs!$B$9,AA5*(1-Inputs!$B$12)+Inputs!$B$11)</f>
        <v>450</v>
      </c>
      <c r="AC5" s="32" t="n">
        <f aca="false">MIN(Inputs!$B$9,AB5*(1-Inputs!$B$12)+Inputs!$B$11)</f>
        <v>450</v>
      </c>
      <c r="AD5" s="32" t="n">
        <f aca="false">MIN(Inputs!$B$9,AC5*(1-Inputs!$B$12)+Inputs!$B$11)</f>
        <v>450</v>
      </c>
      <c r="AE5" s="32" t="n">
        <f aca="false">MIN(Inputs!$B$9,AD5*(1-Inputs!$B$12)+Inputs!$B$11)</f>
        <v>450</v>
      </c>
      <c r="AF5" s="32" t="n">
        <f aca="false">MIN(Inputs!$B$9,AE5*(1-Inputs!$B$12)+Inputs!$B$11)</f>
        <v>450</v>
      </c>
      <c r="AG5" s="32" t="n">
        <f aca="false">MIN(Inputs!$B$9,AF5*(1-Inputs!$B$12)+Inputs!$B$11)</f>
        <v>450</v>
      </c>
      <c r="AH5" s="32" t="n">
        <f aca="false">MIN(Inputs!$B$9,AG5*(1-Inputs!$B$12)+Inputs!$B$11)</f>
        <v>450</v>
      </c>
      <c r="AI5" s="32" t="n">
        <f aca="false">MIN(Inputs!$B$9,AH5*(1-Inputs!$B$12)+Inputs!$B$11)</f>
        <v>450</v>
      </c>
      <c r="AJ5" s="32" t="n">
        <f aca="false">MIN(Inputs!$B$9,AI5*(1-Inputs!$B$12)+Inputs!$B$11)</f>
        <v>450</v>
      </c>
      <c r="AK5" s="32" t="n">
        <f aca="false">MIN(Inputs!$B$9,AJ5*(1-Inputs!$B$12)+Inputs!$B$11)</f>
        <v>450</v>
      </c>
      <c r="AL5" s="32" t="n">
        <f aca="false">MIN(Inputs!$B$9,AK5*(1-Inputs!$B$12)+Inputs!$B$11)</f>
        <v>450</v>
      </c>
    </row>
    <row r="6" customFormat="false" ht="15" hidden="false" customHeight="false" outlineLevel="0" collapsed="false">
      <c r="A6" s="2" t="s">
        <v>110</v>
      </c>
      <c r="B6" s="23" t="n">
        <v>0</v>
      </c>
      <c r="C6" s="23" t="n">
        <f aca="false">C5*(Inputs!$B$6+Inputs!$B$7)</f>
        <v>16500</v>
      </c>
      <c r="D6" s="23" t="n">
        <f aca="false">D5*(Inputs!$B$6+Inputs!$B$7)</f>
        <v>22440</v>
      </c>
      <c r="E6" s="23" t="n">
        <f aca="false">E5*(Inputs!$B$6+Inputs!$B$7)</f>
        <v>28142.4</v>
      </c>
      <c r="F6" s="23" t="n">
        <f aca="false">F5*(Inputs!$B$6+Inputs!$B$7)</f>
        <v>33616.704</v>
      </c>
      <c r="G6" s="23" t="n">
        <f aca="false">G5*(Inputs!$B$6+Inputs!$B$7)</f>
        <v>38872.03584</v>
      </c>
      <c r="H6" s="23" t="n">
        <f aca="false">H5*(Inputs!$B$6+Inputs!$B$7)</f>
        <v>43917.1544064</v>
      </c>
      <c r="I6" s="23" t="n">
        <f aca="false">I5*(Inputs!$B$6+Inputs!$B$7)</f>
        <v>48760.468230144</v>
      </c>
      <c r="J6" s="23" t="n">
        <f aca="false">J5*(Inputs!$B$6+Inputs!$B$7)</f>
        <v>53410.0495009382</v>
      </c>
      <c r="K6" s="23" t="n">
        <f aca="false">K5*(Inputs!$B$6+Inputs!$B$7)</f>
        <v>57873.6475209007</v>
      </c>
      <c r="L6" s="23" t="n">
        <f aca="false">L5*(Inputs!$B$6+Inputs!$B$7)</f>
        <v>62158.7016200647</v>
      </c>
      <c r="M6" s="23" t="n">
        <f aca="false">M5*(Inputs!$B$6+Inputs!$B$7)</f>
        <v>66272.3535552621</v>
      </c>
      <c r="N6" s="23" t="n">
        <f aca="false">N5*(Inputs!$B$6+Inputs!$B$7)</f>
        <v>70221.4594130516</v>
      </c>
      <c r="O6" s="23" t="n">
        <f aca="false">O5*(Inputs!$B$6+Inputs!$B$7)</f>
        <v>74012.6010365295</v>
      </c>
      <c r="P6" s="23" t="n">
        <f aca="false">P5*(Inputs!$B$6+Inputs!$B$7)</f>
        <v>74250</v>
      </c>
      <c r="Q6" s="23" t="n">
        <f aca="false">Q5*(Inputs!$B$6+Inputs!$B$7)</f>
        <v>74250</v>
      </c>
      <c r="R6" s="23" t="n">
        <f aca="false">R5*(Inputs!$B$6+Inputs!$B$7)</f>
        <v>74250</v>
      </c>
      <c r="S6" s="23" t="n">
        <f aca="false">S5*(Inputs!$B$6+Inputs!$B$7)</f>
        <v>74250</v>
      </c>
      <c r="T6" s="23" t="n">
        <f aca="false">T5*(Inputs!$B$6+Inputs!$B$7)</f>
        <v>74250</v>
      </c>
      <c r="U6" s="23" t="n">
        <f aca="false">U5*(Inputs!$B$6+Inputs!$B$7)</f>
        <v>74250</v>
      </c>
      <c r="V6" s="23" t="n">
        <f aca="false">V5*(Inputs!$B$6+Inputs!$B$7)</f>
        <v>74250</v>
      </c>
      <c r="W6" s="23" t="n">
        <f aca="false">W5*(Inputs!$B$6+Inputs!$B$7)</f>
        <v>74250</v>
      </c>
      <c r="X6" s="23" t="n">
        <f aca="false">X5*(Inputs!$B$6+Inputs!$B$7)</f>
        <v>74250</v>
      </c>
      <c r="Y6" s="23" t="n">
        <f aca="false">Y5*(Inputs!$B$6+Inputs!$B$7)</f>
        <v>74250</v>
      </c>
      <c r="Z6" s="23" t="n">
        <f aca="false">Z5*(Inputs!$B$6+Inputs!$B$7)</f>
        <v>74250</v>
      </c>
      <c r="AA6" s="23" t="n">
        <f aca="false">AA5*(Inputs!$B$6+Inputs!$B$7)</f>
        <v>74250</v>
      </c>
      <c r="AB6" s="23" t="n">
        <f aca="false">AB5*(Inputs!$B$6+Inputs!$B$7)</f>
        <v>74250</v>
      </c>
      <c r="AC6" s="23" t="n">
        <f aca="false">AC5*(Inputs!$B$6+Inputs!$B$7)</f>
        <v>74250</v>
      </c>
      <c r="AD6" s="23" t="n">
        <f aca="false">AD5*(Inputs!$B$6+Inputs!$B$7)</f>
        <v>74250</v>
      </c>
      <c r="AE6" s="23" t="n">
        <f aca="false">AE5*(Inputs!$B$6+Inputs!$B$7)</f>
        <v>74250</v>
      </c>
      <c r="AF6" s="23" t="n">
        <f aca="false">AF5*(Inputs!$B$6+Inputs!$B$7)</f>
        <v>74250</v>
      </c>
      <c r="AG6" s="23" t="n">
        <f aca="false">AG5*(Inputs!$B$6+Inputs!$B$7)</f>
        <v>74250</v>
      </c>
      <c r="AH6" s="23" t="n">
        <f aca="false">AH5*(Inputs!$B$6+Inputs!$B$7)</f>
        <v>74250</v>
      </c>
      <c r="AI6" s="23" t="n">
        <f aca="false">AI5*(Inputs!$B$6+Inputs!$B$7)</f>
        <v>74250</v>
      </c>
      <c r="AJ6" s="23" t="n">
        <f aca="false">AJ5*(Inputs!$B$6+Inputs!$B$7)</f>
        <v>74250</v>
      </c>
      <c r="AK6" s="23" t="n">
        <f aca="false">AK5*(Inputs!$B$6+Inputs!$B$7)</f>
        <v>74250</v>
      </c>
      <c r="AL6" s="23" t="n">
        <f aca="false">AL5*(Inputs!$B$6+Inputs!$B$7)</f>
        <v>74250</v>
      </c>
    </row>
    <row r="7" customFormat="false" ht="15" hidden="false" customHeight="false" outlineLevel="0" collapsed="false">
      <c r="A7" s="2" t="s">
        <v>156</v>
      </c>
      <c r="B7" s="23" t="n">
        <v>0</v>
      </c>
      <c r="C7" s="23" t="n">
        <f aca="false">C6*Inputs!$B$8+C5*('Unit Economics'!$B$35+'Unit Economics'!$B$36)</f>
        <v>6107</v>
      </c>
      <c r="D7" s="23" t="n">
        <f aca="false">D6*Inputs!$B$8+D5*('Unit Economics'!$B$35+'Unit Economics'!$B$36)</f>
        <v>8305.52</v>
      </c>
      <c r="E7" s="23" t="n">
        <f aca="false">E6*Inputs!$B$8+E5*('Unit Economics'!$B$35+'Unit Economics'!$B$36)</f>
        <v>10416.0992</v>
      </c>
      <c r="F7" s="23" t="n">
        <f aca="false">F6*Inputs!$B$8+F5*('Unit Economics'!$B$35+'Unit Economics'!$B$36)</f>
        <v>12442.255232</v>
      </c>
      <c r="G7" s="23" t="n">
        <f aca="false">G6*Inputs!$B$8+G5*('Unit Economics'!$B$35+'Unit Economics'!$B$36)</f>
        <v>14387.36502272</v>
      </c>
      <c r="H7" s="23" t="n">
        <f aca="false">H6*Inputs!$B$8+H5*('Unit Economics'!$B$35+'Unit Economics'!$B$36)</f>
        <v>16254.6704218112</v>
      </c>
      <c r="I7" s="23" t="n">
        <f aca="false">I6*Inputs!$B$8+I5*('Unit Economics'!$B$35+'Unit Economics'!$B$36)</f>
        <v>18047.2836049387</v>
      </c>
      <c r="J7" s="23" t="n">
        <f aca="false">J6*Inputs!$B$8+J5*('Unit Economics'!$B$35+'Unit Economics'!$B$36)</f>
        <v>19768.1922607412</v>
      </c>
      <c r="K7" s="23" t="n">
        <f aca="false">K6*Inputs!$B$8+K5*('Unit Economics'!$B$35+'Unit Economics'!$B$36)</f>
        <v>21420.2645703116</v>
      </c>
      <c r="L7" s="23" t="n">
        <f aca="false">L6*Inputs!$B$8+L5*('Unit Economics'!$B$35+'Unit Economics'!$B$36)</f>
        <v>23006.2539874991</v>
      </c>
      <c r="M7" s="23" t="n">
        <f aca="false">M6*Inputs!$B$8+M5*('Unit Economics'!$B$35+'Unit Economics'!$B$36)</f>
        <v>24528.8038279991</v>
      </c>
      <c r="N7" s="23" t="n">
        <f aca="false">N6*Inputs!$B$8+N5*('Unit Economics'!$B$35+'Unit Economics'!$B$36)</f>
        <v>25990.4516748792</v>
      </c>
      <c r="O7" s="23" t="n">
        <f aca="false">O6*Inputs!$B$8+O5*('Unit Economics'!$B$35+'Unit Economics'!$B$36)</f>
        <v>27393.633607884</v>
      </c>
      <c r="P7" s="23" t="n">
        <f aca="false">P6*Inputs!$B$8+P5*('Unit Economics'!$B$35+'Unit Economics'!$B$36)</f>
        <v>27481.5</v>
      </c>
      <c r="Q7" s="23" t="n">
        <f aca="false">Q6*Inputs!$B$8+Q5*('Unit Economics'!$B$35+'Unit Economics'!$B$36)</f>
        <v>27481.5</v>
      </c>
      <c r="R7" s="23" t="n">
        <f aca="false">R6*Inputs!$B$8+R5*('Unit Economics'!$B$35+'Unit Economics'!$B$36)</f>
        <v>27481.5</v>
      </c>
      <c r="S7" s="23" t="n">
        <f aca="false">S6*Inputs!$B$8+S5*('Unit Economics'!$B$35+'Unit Economics'!$B$36)</f>
        <v>27481.5</v>
      </c>
      <c r="T7" s="23" t="n">
        <f aca="false">T6*Inputs!$B$8+T5*('Unit Economics'!$B$35+'Unit Economics'!$B$36)</f>
        <v>27481.5</v>
      </c>
      <c r="U7" s="23" t="n">
        <f aca="false">U6*Inputs!$B$8+U5*('Unit Economics'!$B$35+'Unit Economics'!$B$36)</f>
        <v>27481.5</v>
      </c>
      <c r="V7" s="23" t="n">
        <f aca="false">V6*Inputs!$B$8+V5*('Unit Economics'!$B$35+'Unit Economics'!$B$36)</f>
        <v>27481.5</v>
      </c>
      <c r="W7" s="23" t="n">
        <f aca="false">W6*Inputs!$B$8+W5*('Unit Economics'!$B$35+'Unit Economics'!$B$36)</f>
        <v>27481.5</v>
      </c>
      <c r="X7" s="23" t="n">
        <f aca="false">X6*Inputs!$B$8+X5*('Unit Economics'!$B$35+'Unit Economics'!$B$36)</f>
        <v>27481.5</v>
      </c>
      <c r="Y7" s="23" t="n">
        <f aca="false">Y6*Inputs!$B$8+Y5*('Unit Economics'!$B$35+'Unit Economics'!$B$36)</f>
        <v>27481.5</v>
      </c>
      <c r="Z7" s="23" t="n">
        <f aca="false">Z6*Inputs!$B$8+Z5*('Unit Economics'!$B$35+'Unit Economics'!$B$36)</f>
        <v>27481.5</v>
      </c>
      <c r="AA7" s="23" t="n">
        <f aca="false">AA6*Inputs!$B$8+AA5*('Unit Economics'!$B$35+'Unit Economics'!$B$36)</f>
        <v>27481.5</v>
      </c>
      <c r="AB7" s="23" t="n">
        <f aca="false">AB6*Inputs!$B$8+AB5*('Unit Economics'!$B$35+'Unit Economics'!$B$36)</f>
        <v>27481.5</v>
      </c>
      <c r="AC7" s="23" t="n">
        <f aca="false">AC6*Inputs!$B$8+AC5*('Unit Economics'!$B$35+'Unit Economics'!$B$36)</f>
        <v>27481.5</v>
      </c>
      <c r="AD7" s="23" t="n">
        <f aca="false">AD6*Inputs!$B$8+AD5*('Unit Economics'!$B$35+'Unit Economics'!$B$36)</f>
        <v>27481.5</v>
      </c>
      <c r="AE7" s="23" t="n">
        <f aca="false">AE6*Inputs!$B$8+AE5*('Unit Economics'!$B$35+'Unit Economics'!$B$36)</f>
        <v>27481.5</v>
      </c>
      <c r="AF7" s="23" t="n">
        <f aca="false">AF6*Inputs!$B$8+AF5*('Unit Economics'!$B$35+'Unit Economics'!$B$36)</f>
        <v>27481.5</v>
      </c>
      <c r="AG7" s="23" t="n">
        <f aca="false">AG6*Inputs!$B$8+AG5*('Unit Economics'!$B$35+'Unit Economics'!$B$36)</f>
        <v>27481.5</v>
      </c>
      <c r="AH7" s="23" t="n">
        <f aca="false">AH6*Inputs!$B$8+AH5*('Unit Economics'!$B$35+'Unit Economics'!$B$36)</f>
        <v>27481.5</v>
      </c>
      <c r="AI7" s="23" t="n">
        <f aca="false">AI6*Inputs!$B$8+AI5*('Unit Economics'!$B$35+'Unit Economics'!$B$36)</f>
        <v>27481.5</v>
      </c>
      <c r="AJ7" s="23" t="n">
        <f aca="false">AJ6*Inputs!$B$8+AJ5*('Unit Economics'!$B$35+'Unit Economics'!$B$36)</f>
        <v>27481.5</v>
      </c>
      <c r="AK7" s="23" t="n">
        <f aca="false">AK6*Inputs!$B$8+AK5*('Unit Economics'!$B$35+'Unit Economics'!$B$36)</f>
        <v>27481.5</v>
      </c>
      <c r="AL7" s="23" t="n">
        <f aca="false">AL6*Inputs!$B$8+AL5*('Unit Economics'!$B$35+'Unit Economics'!$B$36)</f>
        <v>27481.5</v>
      </c>
    </row>
    <row r="8" customFormat="false" ht="15" hidden="false" customHeight="false" outlineLevel="0" collapsed="false">
      <c r="A8" s="2" t="s">
        <v>122</v>
      </c>
      <c r="B8" s="23" t="n">
        <v>0</v>
      </c>
      <c r="C8" s="23" t="n">
        <f aca="false">IF(Inputs!$B$37=2,C6*Inputs!$B$38,Inputs!$B$35*Inputs!$B$36/12)</f>
        <v>13750</v>
      </c>
      <c r="D8" s="23" t="n">
        <f aca="false">IF(Inputs!$B$37=2,D6*Inputs!$B$38,Inputs!$B$35*Inputs!$B$36/12)</f>
        <v>13750</v>
      </c>
      <c r="E8" s="23" t="n">
        <f aca="false">IF(Inputs!$B$37=2,E6*Inputs!$B$38,Inputs!$B$35*Inputs!$B$36/12)</f>
        <v>13750</v>
      </c>
      <c r="F8" s="23" t="n">
        <f aca="false">IF(Inputs!$B$37=2,F6*Inputs!$B$38,Inputs!$B$35*Inputs!$B$36/12)</f>
        <v>13750</v>
      </c>
      <c r="G8" s="23" t="n">
        <f aca="false">IF(Inputs!$B$37=2,G6*Inputs!$B$38,Inputs!$B$35*Inputs!$B$36/12)</f>
        <v>13750</v>
      </c>
      <c r="H8" s="23" t="n">
        <f aca="false">IF(Inputs!$B$37=2,H6*Inputs!$B$38,Inputs!$B$35*Inputs!$B$36/12)</f>
        <v>13750</v>
      </c>
      <c r="I8" s="23" t="n">
        <f aca="false">IF(Inputs!$B$37=2,I6*Inputs!$B$38,Inputs!$B$35*Inputs!$B$36/12)</f>
        <v>13750</v>
      </c>
      <c r="J8" s="23" t="n">
        <f aca="false">IF(Inputs!$B$37=2,J6*Inputs!$B$38,Inputs!$B$35*Inputs!$B$36/12)</f>
        <v>13750</v>
      </c>
      <c r="K8" s="23" t="n">
        <f aca="false">IF(Inputs!$B$37=2,K6*Inputs!$B$38,Inputs!$B$35*Inputs!$B$36/12)</f>
        <v>13750</v>
      </c>
      <c r="L8" s="23" t="n">
        <f aca="false">IF(Inputs!$B$37=2,L6*Inputs!$B$38,Inputs!$B$35*Inputs!$B$36/12)</f>
        <v>13750</v>
      </c>
      <c r="M8" s="23" t="n">
        <f aca="false">IF(Inputs!$B$37=2,M6*Inputs!$B$38,Inputs!$B$35*Inputs!$B$36/12)</f>
        <v>13750</v>
      </c>
      <c r="N8" s="23" t="n">
        <f aca="false">IF(Inputs!$B$37=2,N6*Inputs!$B$38,Inputs!$B$35*Inputs!$B$36/12)</f>
        <v>13750</v>
      </c>
      <c r="O8" s="23" t="n">
        <f aca="false">IF(Inputs!$B$37=2,O6*Inputs!$B$38,Inputs!$B$35*Inputs!$B$36/12)</f>
        <v>13750</v>
      </c>
      <c r="P8" s="23" t="n">
        <f aca="false">IF(Inputs!$B$37=2,P6*Inputs!$B$38,Inputs!$B$35*Inputs!$B$36/12)</f>
        <v>13750</v>
      </c>
      <c r="Q8" s="23" t="n">
        <f aca="false">IF(Inputs!$B$37=2,Q6*Inputs!$B$38,Inputs!$B$35*Inputs!$B$36/12)</f>
        <v>13750</v>
      </c>
      <c r="R8" s="23" t="n">
        <f aca="false">IF(Inputs!$B$37=2,R6*Inputs!$B$38,Inputs!$B$35*Inputs!$B$36/12)</f>
        <v>13750</v>
      </c>
      <c r="S8" s="23" t="n">
        <f aca="false">IF(Inputs!$B$37=2,S6*Inputs!$B$38,Inputs!$B$35*Inputs!$B$36/12)</f>
        <v>13750</v>
      </c>
      <c r="T8" s="23" t="n">
        <f aca="false">IF(Inputs!$B$37=2,T6*Inputs!$B$38,Inputs!$B$35*Inputs!$B$36/12)</f>
        <v>13750</v>
      </c>
      <c r="U8" s="23" t="n">
        <f aca="false">IF(Inputs!$B$37=2,U6*Inputs!$B$38,Inputs!$B$35*Inputs!$B$36/12)</f>
        <v>13750</v>
      </c>
      <c r="V8" s="23" t="n">
        <f aca="false">IF(Inputs!$B$37=2,V6*Inputs!$B$38,Inputs!$B$35*Inputs!$B$36/12)</f>
        <v>13750</v>
      </c>
      <c r="W8" s="23" t="n">
        <f aca="false">IF(Inputs!$B$37=2,W6*Inputs!$B$38,Inputs!$B$35*Inputs!$B$36/12)</f>
        <v>13750</v>
      </c>
      <c r="X8" s="23" t="n">
        <f aca="false">IF(Inputs!$B$37=2,X6*Inputs!$B$38,Inputs!$B$35*Inputs!$B$36/12)</f>
        <v>13750</v>
      </c>
      <c r="Y8" s="23" t="n">
        <f aca="false">IF(Inputs!$B$37=2,Y6*Inputs!$B$38,Inputs!$B$35*Inputs!$B$36/12)</f>
        <v>13750</v>
      </c>
      <c r="Z8" s="23" t="n">
        <f aca="false">IF(Inputs!$B$37=2,Z6*Inputs!$B$38,Inputs!$B$35*Inputs!$B$36/12)</f>
        <v>13750</v>
      </c>
      <c r="AA8" s="23" t="n">
        <f aca="false">IF(Inputs!$B$37=2,AA6*Inputs!$B$38,Inputs!$B$35*Inputs!$B$36/12)</f>
        <v>13750</v>
      </c>
      <c r="AB8" s="23" t="n">
        <f aca="false">IF(Inputs!$B$37=2,AB6*Inputs!$B$38,Inputs!$B$35*Inputs!$B$36/12)</f>
        <v>13750</v>
      </c>
      <c r="AC8" s="23" t="n">
        <f aca="false">IF(Inputs!$B$37=2,AC6*Inputs!$B$38,Inputs!$B$35*Inputs!$B$36/12)</f>
        <v>13750</v>
      </c>
      <c r="AD8" s="23" t="n">
        <f aca="false">IF(Inputs!$B$37=2,AD6*Inputs!$B$38,Inputs!$B$35*Inputs!$B$36/12)</f>
        <v>13750</v>
      </c>
      <c r="AE8" s="23" t="n">
        <f aca="false">IF(Inputs!$B$37=2,AE6*Inputs!$B$38,Inputs!$B$35*Inputs!$B$36/12)</f>
        <v>13750</v>
      </c>
      <c r="AF8" s="23" t="n">
        <f aca="false">IF(Inputs!$B$37=2,AF6*Inputs!$B$38,Inputs!$B$35*Inputs!$B$36/12)</f>
        <v>13750</v>
      </c>
      <c r="AG8" s="23" t="n">
        <f aca="false">IF(Inputs!$B$37=2,AG6*Inputs!$B$38,Inputs!$B$35*Inputs!$B$36/12)</f>
        <v>13750</v>
      </c>
      <c r="AH8" s="23" t="n">
        <f aca="false">IF(Inputs!$B$37=2,AH6*Inputs!$B$38,Inputs!$B$35*Inputs!$B$36/12)</f>
        <v>13750</v>
      </c>
      <c r="AI8" s="23" t="n">
        <f aca="false">IF(Inputs!$B$37=2,AI6*Inputs!$B$38,Inputs!$B$35*Inputs!$B$36/12)</f>
        <v>13750</v>
      </c>
      <c r="AJ8" s="23" t="n">
        <f aca="false">IF(Inputs!$B$37=2,AJ6*Inputs!$B$38,Inputs!$B$35*Inputs!$B$36/12)</f>
        <v>13750</v>
      </c>
      <c r="AK8" s="23" t="n">
        <f aca="false">IF(Inputs!$B$37=2,AK6*Inputs!$B$38,Inputs!$B$35*Inputs!$B$36/12)</f>
        <v>13750</v>
      </c>
      <c r="AL8" s="23" t="n">
        <f aca="false">IF(Inputs!$B$37=2,AL6*Inputs!$B$38,Inputs!$B$35*Inputs!$B$36/12)</f>
        <v>13750</v>
      </c>
    </row>
    <row r="9" customFormat="false" ht="15" hidden="false" customHeight="false" outlineLevel="0" collapsed="false">
      <c r="A9" s="2" t="s">
        <v>157</v>
      </c>
      <c r="B9" s="23" t="n">
        <v>0</v>
      </c>
      <c r="C9" s="23" t="n">
        <f aca="false">('Unit Economics'!$B$26-'Unit Economics'!$B$21)</f>
        <v>37699.1666666667</v>
      </c>
      <c r="D9" s="23" t="n">
        <f aca="false">('Unit Economics'!$B$26-'Unit Economics'!$B$21)</f>
        <v>37699.1666666667</v>
      </c>
      <c r="E9" s="23" t="n">
        <f aca="false">('Unit Economics'!$B$26-'Unit Economics'!$B$21)</f>
        <v>37699.1666666667</v>
      </c>
      <c r="F9" s="23" t="n">
        <f aca="false">('Unit Economics'!$B$26-'Unit Economics'!$B$21)</f>
        <v>37699.1666666667</v>
      </c>
      <c r="G9" s="23" t="n">
        <f aca="false">('Unit Economics'!$B$26-'Unit Economics'!$B$21)</f>
        <v>37699.1666666667</v>
      </c>
      <c r="H9" s="23" t="n">
        <f aca="false">('Unit Economics'!$B$26-'Unit Economics'!$B$21)</f>
        <v>37699.1666666667</v>
      </c>
      <c r="I9" s="23" t="n">
        <f aca="false">('Unit Economics'!$B$26-'Unit Economics'!$B$21)</f>
        <v>37699.1666666667</v>
      </c>
      <c r="J9" s="23" t="n">
        <f aca="false">('Unit Economics'!$B$26-'Unit Economics'!$B$21)</f>
        <v>37699.1666666667</v>
      </c>
      <c r="K9" s="23" t="n">
        <f aca="false">('Unit Economics'!$B$26-'Unit Economics'!$B$21)</f>
        <v>37699.1666666667</v>
      </c>
      <c r="L9" s="23" t="n">
        <f aca="false">('Unit Economics'!$B$26-'Unit Economics'!$B$21)</f>
        <v>37699.1666666667</v>
      </c>
      <c r="M9" s="23" t="n">
        <f aca="false">('Unit Economics'!$B$26-'Unit Economics'!$B$21)</f>
        <v>37699.1666666667</v>
      </c>
      <c r="N9" s="23" t="n">
        <f aca="false">('Unit Economics'!$B$26-'Unit Economics'!$B$21)</f>
        <v>37699.1666666667</v>
      </c>
      <c r="O9" s="23" t="n">
        <f aca="false">('Unit Economics'!$B$26-'Unit Economics'!$B$21)</f>
        <v>37699.1666666667</v>
      </c>
      <c r="P9" s="23" t="n">
        <f aca="false">('Unit Economics'!$B$26-'Unit Economics'!$B$21)</f>
        <v>37699.1666666667</v>
      </c>
      <c r="Q9" s="23" t="n">
        <f aca="false">('Unit Economics'!$B$26-'Unit Economics'!$B$21)</f>
        <v>37699.1666666667</v>
      </c>
      <c r="R9" s="23" t="n">
        <f aca="false">('Unit Economics'!$B$26-'Unit Economics'!$B$21)</f>
        <v>37699.1666666667</v>
      </c>
      <c r="S9" s="23" t="n">
        <f aca="false">('Unit Economics'!$B$26-'Unit Economics'!$B$21)</f>
        <v>37699.1666666667</v>
      </c>
      <c r="T9" s="23" t="n">
        <f aca="false">('Unit Economics'!$B$26-'Unit Economics'!$B$21)</f>
        <v>37699.1666666667</v>
      </c>
      <c r="U9" s="23" t="n">
        <f aca="false">('Unit Economics'!$B$26-'Unit Economics'!$B$21)</f>
        <v>37699.1666666667</v>
      </c>
      <c r="V9" s="23" t="n">
        <f aca="false">('Unit Economics'!$B$26-'Unit Economics'!$B$21)</f>
        <v>37699.1666666667</v>
      </c>
      <c r="W9" s="23" t="n">
        <f aca="false">('Unit Economics'!$B$26-'Unit Economics'!$B$21)</f>
        <v>37699.1666666667</v>
      </c>
      <c r="X9" s="23" t="n">
        <f aca="false">('Unit Economics'!$B$26-'Unit Economics'!$B$21)</f>
        <v>37699.1666666667</v>
      </c>
      <c r="Y9" s="23" t="n">
        <f aca="false">('Unit Economics'!$B$26-'Unit Economics'!$B$21)</f>
        <v>37699.1666666667</v>
      </c>
      <c r="Z9" s="23" t="n">
        <f aca="false">('Unit Economics'!$B$26-'Unit Economics'!$B$21)</f>
        <v>37699.1666666667</v>
      </c>
      <c r="AA9" s="23" t="n">
        <f aca="false">('Unit Economics'!$B$26-'Unit Economics'!$B$21)</f>
        <v>37699.1666666667</v>
      </c>
      <c r="AB9" s="23" t="n">
        <f aca="false">('Unit Economics'!$B$26-'Unit Economics'!$B$21)</f>
        <v>37699.1666666667</v>
      </c>
      <c r="AC9" s="23" t="n">
        <f aca="false">('Unit Economics'!$B$26-'Unit Economics'!$B$21)</f>
        <v>37699.1666666667</v>
      </c>
      <c r="AD9" s="23" t="n">
        <f aca="false">('Unit Economics'!$B$26-'Unit Economics'!$B$21)</f>
        <v>37699.1666666667</v>
      </c>
      <c r="AE9" s="23" t="n">
        <f aca="false">('Unit Economics'!$B$26-'Unit Economics'!$B$21)</f>
        <v>37699.1666666667</v>
      </c>
      <c r="AF9" s="23" t="n">
        <f aca="false">('Unit Economics'!$B$26-'Unit Economics'!$B$21)</f>
        <v>37699.1666666667</v>
      </c>
      <c r="AG9" s="23" t="n">
        <f aca="false">('Unit Economics'!$B$26-'Unit Economics'!$B$21)</f>
        <v>37699.1666666667</v>
      </c>
      <c r="AH9" s="23" t="n">
        <f aca="false">('Unit Economics'!$B$26-'Unit Economics'!$B$21)</f>
        <v>37699.1666666667</v>
      </c>
      <c r="AI9" s="23" t="n">
        <f aca="false">('Unit Economics'!$B$26-'Unit Economics'!$B$21)</f>
        <v>37699.1666666667</v>
      </c>
      <c r="AJ9" s="23" t="n">
        <f aca="false">('Unit Economics'!$B$26-'Unit Economics'!$B$21)</f>
        <v>37699.1666666667</v>
      </c>
      <c r="AK9" s="23" t="n">
        <f aca="false">('Unit Economics'!$B$26-'Unit Economics'!$B$21)</f>
        <v>37699.1666666667</v>
      </c>
      <c r="AL9" s="23" t="n">
        <f aca="false">('Unit Economics'!$B$26-'Unit Economics'!$B$21)</f>
        <v>37699.1666666667</v>
      </c>
    </row>
    <row r="10" customFormat="false" ht="15" hidden="false" customHeight="false" outlineLevel="0" collapsed="false">
      <c r="A10" s="3" t="s">
        <v>158</v>
      </c>
      <c r="B10" s="25" t="n">
        <v>0</v>
      </c>
      <c r="C10" s="25" t="n">
        <f aca="false">C6-C7-C8-C9</f>
        <v>-41056.1666666667</v>
      </c>
      <c r="D10" s="25" t="n">
        <f aca="false">D6-D7-D8-D9</f>
        <v>-37314.6866666667</v>
      </c>
      <c r="E10" s="25" t="n">
        <f aca="false">E6-E7-E8-E9</f>
        <v>-33722.8658666667</v>
      </c>
      <c r="F10" s="25" t="n">
        <f aca="false">F6-F7-F8-F9</f>
        <v>-30274.7178986667</v>
      </c>
      <c r="G10" s="25" t="n">
        <f aca="false">G6-G7-G8-G9</f>
        <v>-26964.4958493867</v>
      </c>
      <c r="H10" s="25" t="n">
        <f aca="false">H6-H7-H8-H9</f>
        <v>-23786.6826820779</v>
      </c>
      <c r="I10" s="25" t="n">
        <f aca="false">I6-I7-I8-I9</f>
        <v>-20735.9820414614</v>
      </c>
      <c r="J10" s="25" t="n">
        <f aca="false">J6-J7-J8-J9</f>
        <v>-17807.3094264696</v>
      </c>
      <c r="K10" s="25" t="n">
        <f aca="false">K6-K7-K8-K9</f>
        <v>-14995.7837160775</v>
      </c>
      <c r="L10" s="25" t="n">
        <f aca="false">L6-L7-L8-L9</f>
        <v>-12296.7190341011</v>
      </c>
      <c r="M10" s="25" t="n">
        <f aca="false">M6-M7-M8-M9</f>
        <v>-9705.61693940371</v>
      </c>
      <c r="N10" s="25" t="n">
        <f aca="false">N6-N7-N8-N9</f>
        <v>-7218.15892849422</v>
      </c>
      <c r="O10" s="25" t="n">
        <f aca="false">O6-O7-O8-O9</f>
        <v>-4830.19923802113</v>
      </c>
      <c r="P10" s="25" t="n">
        <f aca="false">P6-P7-P8-P9</f>
        <v>-4680.66666666666</v>
      </c>
      <c r="Q10" s="25" t="n">
        <f aca="false">Q6-Q7-Q8-Q9</f>
        <v>-4680.66666666666</v>
      </c>
      <c r="R10" s="25" t="n">
        <f aca="false">R6-R7-R8-R9</f>
        <v>-4680.66666666666</v>
      </c>
      <c r="S10" s="25" t="n">
        <f aca="false">S6-S7-S8-S9</f>
        <v>-4680.66666666666</v>
      </c>
      <c r="T10" s="25" t="n">
        <f aca="false">T6-T7-T8-T9</f>
        <v>-4680.66666666666</v>
      </c>
      <c r="U10" s="25" t="n">
        <f aca="false">U6-U7-U8-U9</f>
        <v>-4680.66666666666</v>
      </c>
      <c r="V10" s="25" t="n">
        <f aca="false">V6-V7-V8-V9</f>
        <v>-4680.66666666666</v>
      </c>
      <c r="W10" s="25" t="n">
        <f aca="false">W6-W7-W8-W9</f>
        <v>-4680.66666666666</v>
      </c>
      <c r="X10" s="25" t="n">
        <f aca="false">X6-X7-X8-X9</f>
        <v>-4680.66666666666</v>
      </c>
      <c r="Y10" s="25" t="n">
        <f aca="false">Y6-Y7-Y8-Y9</f>
        <v>-4680.66666666666</v>
      </c>
      <c r="Z10" s="25" t="n">
        <f aca="false">Z6-Z7-Z8-Z9</f>
        <v>-4680.66666666666</v>
      </c>
      <c r="AA10" s="25" t="n">
        <f aca="false">AA6-AA7-AA8-AA9</f>
        <v>-4680.66666666666</v>
      </c>
      <c r="AB10" s="25" t="n">
        <f aca="false">AB6-AB7-AB8-AB9</f>
        <v>-4680.66666666666</v>
      </c>
      <c r="AC10" s="25" t="n">
        <f aca="false">AC6-AC7-AC8-AC9</f>
        <v>-4680.66666666666</v>
      </c>
      <c r="AD10" s="25" t="n">
        <f aca="false">AD6-AD7-AD8-AD9</f>
        <v>-4680.66666666666</v>
      </c>
      <c r="AE10" s="25" t="n">
        <f aca="false">AE6-AE7-AE8-AE9</f>
        <v>-4680.66666666666</v>
      </c>
      <c r="AF10" s="25" t="n">
        <f aca="false">AF6-AF7-AF8-AF9</f>
        <v>-4680.66666666666</v>
      </c>
      <c r="AG10" s="25" t="n">
        <f aca="false">AG6-AG7-AG8-AG9</f>
        <v>-4680.66666666666</v>
      </c>
      <c r="AH10" s="25" t="n">
        <f aca="false">AH6-AH7-AH8-AH9</f>
        <v>-4680.66666666666</v>
      </c>
      <c r="AI10" s="25" t="n">
        <f aca="false">AI6-AI7-AI8-AI9</f>
        <v>-4680.66666666666</v>
      </c>
      <c r="AJ10" s="25" t="n">
        <f aca="false">AJ6-AJ7-AJ8-AJ9</f>
        <v>-4680.66666666666</v>
      </c>
      <c r="AK10" s="25" t="n">
        <f aca="false">AK6-AK7-AK8-AK9</f>
        <v>-4680.66666666666</v>
      </c>
      <c r="AL10" s="25" t="n">
        <f aca="false">AL6-AL7-AL8-AL9</f>
        <v>-4680.66666666666</v>
      </c>
    </row>
    <row r="11" customFormat="false" ht="15" hidden="false" customHeight="false" outlineLevel="0" collapsed="false">
      <c r="A11" s="2" t="s">
        <v>159</v>
      </c>
      <c r="B11" s="23" t="n">
        <f aca="false">'Unit Economics'!$B$56</f>
        <v>400000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</row>
    <row r="12" customFormat="false" ht="15" hidden="false" customHeight="false" outlineLevel="0" collapsed="false">
      <c r="A12" s="2" t="s">
        <v>160</v>
      </c>
      <c r="B12" s="23" t="n">
        <f aca="false">B10-B11</f>
        <v>-400000</v>
      </c>
      <c r="C12" s="23" t="n">
        <f aca="false">C10-C11</f>
        <v>-41056.1666666667</v>
      </c>
      <c r="D12" s="23" t="n">
        <f aca="false">D10-D11</f>
        <v>-37314.6866666667</v>
      </c>
      <c r="E12" s="23" t="n">
        <f aca="false">E10-E11</f>
        <v>-33722.8658666667</v>
      </c>
      <c r="F12" s="23" t="n">
        <f aca="false">F10-F11</f>
        <v>-30274.7178986667</v>
      </c>
      <c r="G12" s="23" t="n">
        <f aca="false">G10-G11</f>
        <v>-26964.4958493867</v>
      </c>
      <c r="H12" s="23" t="n">
        <f aca="false">H10-H11</f>
        <v>-23786.6826820779</v>
      </c>
      <c r="I12" s="23" t="n">
        <f aca="false">I10-I11</f>
        <v>-20735.9820414614</v>
      </c>
      <c r="J12" s="23" t="n">
        <f aca="false">J10-J11</f>
        <v>-17807.3094264696</v>
      </c>
      <c r="K12" s="23" t="n">
        <f aca="false">K10-K11</f>
        <v>-14995.7837160775</v>
      </c>
      <c r="L12" s="23" t="n">
        <f aca="false">L10-L11</f>
        <v>-12296.7190341011</v>
      </c>
      <c r="M12" s="23" t="n">
        <f aca="false">M10-M11</f>
        <v>-9705.61693940371</v>
      </c>
      <c r="N12" s="23" t="n">
        <f aca="false">N10-N11</f>
        <v>-7218.15892849422</v>
      </c>
      <c r="O12" s="23" t="n">
        <f aca="false">O10-O11</f>
        <v>-4830.19923802113</v>
      </c>
      <c r="P12" s="23" t="n">
        <f aca="false">P10-P11</f>
        <v>-4680.66666666666</v>
      </c>
      <c r="Q12" s="23" t="n">
        <f aca="false">Q10-Q11</f>
        <v>-4680.66666666666</v>
      </c>
      <c r="R12" s="23" t="n">
        <f aca="false">R10-R11</f>
        <v>-4680.66666666666</v>
      </c>
      <c r="S12" s="23" t="n">
        <f aca="false">S10-S11</f>
        <v>-4680.66666666666</v>
      </c>
      <c r="T12" s="23" t="n">
        <f aca="false">T10-T11</f>
        <v>-4680.66666666666</v>
      </c>
      <c r="U12" s="23" t="n">
        <f aca="false">U10-U11</f>
        <v>-4680.66666666666</v>
      </c>
      <c r="V12" s="23" t="n">
        <f aca="false">V10-V11</f>
        <v>-4680.66666666666</v>
      </c>
      <c r="W12" s="23" t="n">
        <f aca="false">W10-W11</f>
        <v>-4680.66666666666</v>
      </c>
      <c r="X12" s="23" t="n">
        <f aca="false">X10-X11</f>
        <v>-4680.66666666666</v>
      </c>
      <c r="Y12" s="23" t="n">
        <f aca="false">Y10-Y11</f>
        <v>-4680.66666666666</v>
      </c>
      <c r="Z12" s="23" t="n">
        <f aca="false">Z10-Z11</f>
        <v>-4680.66666666666</v>
      </c>
      <c r="AA12" s="23" t="n">
        <f aca="false">AA10-AA11</f>
        <v>-4680.66666666666</v>
      </c>
      <c r="AB12" s="23" t="n">
        <f aca="false">AB10-AB11</f>
        <v>-4680.66666666666</v>
      </c>
      <c r="AC12" s="23" t="n">
        <f aca="false">AC10-AC11</f>
        <v>-4680.66666666666</v>
      </c>
      <c r="AD12" s="23" t="n">
        <f aca="false">AD10-AD11</f>
        <v>-4680.66666666666</v>
      </c>
      <c r="AE12" s="23" t="n">
        <f aca="false">AE10-AE11</f>
        <v>-4680.66666666666</v>
      </c>
      <c r="AF12" s="23" t="n">
        <f aca="false">AF10-AF11</f>
        <v>-4680.66666666666</v>
      </c>
      <c r="AG12" s="23" t="n">
        <f aca="false">AG10-AG11</f>
        <v>-4680.66666666666</v>
      </c>
      <c r="AH12" s="23" t="n">
        <f aca="false">AH10-AH11</f>
        <v>-4680.66666666666</v>
      </c>
      <c r="AI12" s="23" t="n">
        <f aca="false">AI10-AI11</f>
        <v>-4680.66666666666</v>
      </c>
      <c r="AJ12" s="23" t="n">
        <f aca="false">AJ10-AJ11</f>
        <v>-4680.66666666666</v>
      </c>
      <c r="AK12" s="23" t="n">
        <f aca="false">AK10-AK11</f>
        <v>-4680.66666666666</v>
      </c>
      <c r="AL12" s="23" t="n">
        <f aca="false">AL10-AL11</f>
        <v>-4680.66666666666</v>
      </c>
    </row>
    <row r="13" customFormat="false" ht="15" hidden="false" customHeight="false" outlineLevel="0" collapsed="false">
      <c r="A13" s="3" t="s">
        <v>161</v>
      </c>
      <c r="B13" s="25" t="n">
        <f aca="false">B12</f>
        <v>-400000</v>
      </c>
      <c r="C13" s="25" t="n">
        <f aca="false">B13+C12</f>
        <v>-441056.166666667</v>
      </c>
      <c r="D13" s="25" t="n">
        <f aca="false">C13+D12</f>
        <v>-478370.853333333</v>
      </c>
      <c r="E13" s="25" t="n">
        <f aca="false">D13+E12</f>
        <v>-512093.7192</v>
      </c>
      <c r="F13" s="25" t="n">
        <f aca="false">E13+F12</f>
        <v>-542368.437098667</v>
      </c>
      <c r="G13" s="25" t="n">
        <f aca="false">F13+G12</f>
        <v>-569332.932948053</v>
      </c>
      <c r="H13" s="25" t="n">
        <f aca="false">G13+H12</f>
        <v>-593119.615630131</v>
      </c>
      <c r="I13" s="25" t="n">
        <f aca="false">H13+I12</f>
        <v>-613855.597671593</v>
      </c>
      <c r="J13" s="25" t="n">
        <f aca="false">I13+J12</f>
        <v>-631662.907098062</v>
      </c>
      <c r="K13" s="25" t="n">
        <f aca="false">J13+K12</f>
        <v>-646658.69081414</v>
      </c>
      <c r="L13" s="25" t="n">
        <f aca="false">K13+L12</f>
        <v>-658955.409848241</v>
      </c>
      <c r="M13" s="25" t="n">
        <f aca="false">L13+M12</f>
        <v>-668661.026787645</v>
      </c>
      <c r="N13" s="25" t="n">
        <f aca="false">M13+N12</f>
        <v>-675879.185716139</v>
      </c>
      <c r="O13" s="25" t="n">
        <f aca="false">N13+O12</f>
        <v>-680709.38495416</v>
      </c>
      <c r="P13" s="25" t="n">
        <f aca="false">O13+P12</f>
        <v>-685390.051620827</v>
      </c>
      <c r="Q13" s="25" t="n">
        <f aca="false">P13+Q12</f>
        <v>-690070.718287493</v>
      </c>
      <c r="R13" s="25" t="n">
        <f aca="false">Q13+R12</f>
        <v>-694751.38495416</v>
      </c>
      <c r="S13" s="25" t="n">
        <f aca="false">R13+S12</f>
        <v>-699432.051620827</v>
      </c>
      <c r="T13" s="25" t="n">
        <f aca="false">S13+T12</f>
        <v>-704112.718287493</v>
      </c>
      <c r="U13" s="25" t="n">
        <f aca="false">T13+U12</f>
        <v>-708793.38495416</v>
      </c>
      <c r="V13" s="25" t="n">
        <f aca="false">U13+V12</f>
        <v>-713474.051620826</v>
      </c>
      <c r="W13" s="25" t="n">
        <f aca="false">V13+W12</f>
        <v>-718154.718287493</v>
      </c>
      <c r="X13" s="25" t="n">
        <f aca="false">W13+X12</f>
        <v>-722835.38495416</v>
      </c>
      <c r="Y13" s="25" t="n">
        <f aca="false">X13+Y12</f>
        <v>-727516.051620826</v>
      </c>
      <c r="Z13" s="25" t="n">
        <f aca="false">Y13+Z12</f>
        <v>-732196.718287493</v>
      </c>
      <c r="AA13" s="25" t="n">
        <f aca="false">Z13+AA12</f>
        <v>-736877.38495416</v>
      </c>
      <c r="AB13" s="25" t="n">
        <f aca="false">AA13+AB12</f>
        <v>-741558.051620826</v>
      </c>
      <c r="AC13" s="25" t="n">
        <f aca="false">AB13+AC12</f>
        <v>-746238.718287493</v>
      </c>
      <c r="AD13" s="25" t="n">
        <f aca="false">AC13+AD12</f>
        <v>-750919.384954159</v>
      </c>
      <c r="AE13" s="25" t="n">
        <f aca="false">AD13+AE12</f>
        <v>-755600.051620826</v>
      </c>
      <c r="AF13" s="25" t="n">
        <f aca="false">AE13+AF12</f>
        <v>-760280.718287493</v>
      </c>
      <c r="AG13" s="25" t="n">
        <f aca="false">AF13+AG12</f>
        <v>-764961.384954159</v>
      </c>
      <c r="AH13" s="25" t="n">
        <f aca="false">AG13+AH12</f>
        <v>-769642.051620826</v>
      </c>
      <c r="AI13" s="25" t="n">
        <f aca="false">AH13+AI12</f>
        <v>-774322.718287493</v>
      </c>
      <c r="AJ13" s="25" t="n">
        <f aca="false">AI13+AJ12</f>
        <v>-779003.384954159</v>
      </c>
      <c r="AK13" s="25" t="n">
        <f aca="false">AJ13+AK12</f>
        <v>-783684.051620826</v>
      </c>
      <c r="AL13" s="25" t="n">
        <f aca="false">AK13+AL12</f>
        <v>-788364.718287492</v>
      </c>
    </row>
    <row r="14" customFormat="false" ht="15" hidden="false" customHeight="false" outlineLevel="0" collapsed="false">
      <c r="A14" s="2" t="s">
        <v>162</v>
      </c>
      <c r="B14" s="35"/>
      <c r="C14" s="35" t="str">
        <f aca="false">IF(AND(C13&gt;=0,B13&lt;0),C4,"")</f>
        <v/>
      </c>
      <c r="D14" s="35" t="str">
        <f aca="false">IF(AND(D13&gt;=0,C13&lt;0),D4,"")</f>
        <v/>
      </c>
      <c r="E14" s="35" t="str">
        <f aca="false">IF(AND(E13&gt;=0,D13&lt;0),E4,"")</f>
        <v/>
      </c>
      <c r="F14" s="35" t="str">
        <f aca="false">IF(AND(F13&gt;=0,E13&lt;0),F4,"")</f>
        <v/>
      </c>
      <c r="G14" s="35" t="str">
        <f aca="false">IF(AND(G13&gt;=0,F13&lt;0),G4,"")</f>
        <v/>
      </c>
      <c r="H14" s="35" t="str">
        <f aca="false">IF(AND(H13&gt;=0,G13&lt;0),H4,"")</f>
        <v/>
      </c>
      <c r="I14" s="35" t="str">
        <f aca="false">IF(AND(I13&gt;=0,H13&lt;0),I4,"")</f>
        <v/>
      </c>
      <c r="J14" s="35" t="str">
        <f aca="false">IF(AND(J13&gt;=0,I13&lt;0),J4,"")</f>
        <v/>
      </c>
      <c r="K14" s="35" t="str">
        <f aca="false">IF(AND(K13&gt;=0,J13&lt;0),K4,"")</f>
        <v/>
      </c>
      <c r="L14" s="35" t="str">
        <f aca="false">IF(AND(L13&gt;=0,K13&lt;0),L4,"")</f>
        <v/>
      </c>
      <c r="M14" s="35" t="str">
        <f aca="false">IF(AND(M13&gt;=0,L13&lt;0),M4,"")</f>
        <v/>
      </c>
      <c r="N14" s="35" t="str">
        <f aca="false">IF(AND(N13&gt;=0,M13&lt;0),N4,"")</f>
        <v/>
      </c>
      <c r="O14" s="35" t="str">
        <f aca="false">IF(AND(O13&gt;=0,N13&lt;0),O4,"")</f>
        <v/>
      </c>
      <c r="P14" s="35" t="str">
        <f aca="false">IF(AND(P13&gt;=0,O13&lt;0),P4,"")</f>
        <v/>
      </c>
      <c r="Q14" s="35" t="str">
        <f aca="false">IF(AND(Q13&gt;=0,P13&lt;0),Q4,"")</f>
        <v/>
      </c>
      <c r="R14" s="35" t="str">
        <f aca="false">IF(AND(R13&gt;=0,Q13&lt;0),R4,"")</f>
        <v/>
      </c>
      <c r="S14" s="35" t="str">
        <f aca="false">IF(AND(S13&gt;=0,R13&lt;0),S4,"")</f>
        <v/>
      </c>
      <c r="T14" s="35" t="str">
        <f aca="false">IF(AND(T13&gt;=0,S13&lt;0),T4,"")</f>
        <v/>
      </c>
      <c r="U14" s="35" t="str">
        <f aca="false">IF(AND(U13&gt;=0,T13&lt;0),U4,"")</f>
        <v/>
      </c>
      <c r="V14" s="35" t="str">
        <f aca="false">IF(AND(V13&gt;=0,U13&lt;0),V4,"")</f>
        <v/>
      </c>
      <c r="W14" s="35" t="str">
        <f aca="false">IF(AND(W13&gt;=0,V13&lt;0),W4,"")</f>
        <v/>
      </c>
      <c r="X14" s="35" t="str">
        <f aca="false">IF(AND(X13&gt;=0,W13&lt;0),X4,"")</f>
        <v/>
      </c>
      <c r="Y14" s="35" t="str">
        <f aca="false">IF(AND(Y13&gt;=0,X13&lt;0),Y4,"")</f>
        <v/>
      </c>
      <c r="Z14" s="35" t="str">
        <f aca="false">IF(AND(Z13&gt;=0,Y13&lt;0),Z4,"")</f>
        <v/>
      </c>
      <c r="AA14" s="35" t="str">
        <f aca="false">IF(AND(AA13&gt;=0,Z13&lt;0),AA4,"")</f>
        <v/>
      </c>
      <c r="AB14" s="35" t="str">
        <f aca="false">IF(AND(AB13&gt;=0,AA13&lt;0),AB4,"")</f>
        <v/>
      </c>
      <c r="AC14" s="35" t="str">
        <f aca="false">IF(AND(AC13&gt;=0,AB13&lt;0),AC4,"")</f>
        <v/>
      </c>
      <c r="AD14" s="35" t="str">
        <f aca="false">IF(AND(AD13&gt;=0,AC13&lt;0),AD4,"")</f>
        <v/>
      </c>
      <c r="AE14" s="35" t="str">
        <f aca="false">IF(AND(AE13&gt;=0,AD13&lt;0),AE4,"")</f>
        <v/>
      </c>
      <c r="AF14" s="35" t="str">
        <f aca="false">IF(AND(AF13&gt;=0,AE13&lt;0),AF4,"")</f>
        <v/>
      </c>
      <c r="AG14" s="35" t="str">
        <f aca="false">IF(AND(AG13&gt;=0,AF13&lt;0),AG4,"")</f>
        <v/>
      </c>
      <c r="AH14" s="35" t="str">
        <f aca="false">IF(AND(AH13&gt;=0,AG13&lt;0),AH4,"")</f>
        <v/>
      </c>
      <c r="AI14" s="35" t="str">
        <f aca="false">IF(AND(AI13&gt;=0,AH13&lt;0),AI4,"")</f>
        <v/>
      </c>
      <c r="AJ14" s="35" t="str">
        <f aca="false">IF(AND(AJ13&gt;=0,AI13&lt;0),AJ4,"")</f>
        <v/>
      </c>
      <c r="AK14" s="35" t="str">
        <f aca="false">IF(AND(AK13&gt;=0,AJ13&lt;0),AK4,"")</f>
        <v/>
      </c>
      <c r="AL14" s="35" t="str">
        <f aca="false">IF(AND(AL13&gt;=0,AK13&lt;0),AL4,"")</f>
        <v/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customFormat="false" ht="15" hidden="false" customHeight="false" outlineLevel="0" collapsed="false">
      <c r="A16" s="3" t="s">
        <v>163</v>
      </c>
      <c r="B16" s="3" t="str">
        <f aca="false">IF(COUNT(C14:AL14)=0,"Beyond 36 months",MIN(C14:AL14))</f>
        <v>Beyond 36 months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customFormat="false" ht="15" hidden="false" customHeight="false" outlineLevel="0" collapsed="false">
      <c r="A17" s="3" t="s">
        <v>164</v>
      </c>
      <c r="B17" s="25" t="n">
        <f aca="false">MIN(B13:AL13)</f>
        <v>-788364.718287492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customFormat="false" ht="15" hidden="false" customHeight="false" outlineLevel="0" collapsed="false">
      <c r="A18" s="3" t="s">
        <v>165</v>
      </c>
      <c r="B18" s="25" t="n">
        <f aca="false">AL13</f>
        <v>-788364.718287492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166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12" t="s">
        <v>167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3" t="s">
        <v>168</v>
      </c>
      <c r="B4" s="7"/>
      <c r="C4" s="7"/>
      <c r="D4" s="7"/>
      <c r="E4" s="7"/>
      <c r="F4" s="7"/>
    </row>
    <row r="5" customFormat="false" ht="15" hidden="false" customHeight="false" outlineLevel="0" collapsed="false">
      <c r="A5" s="8" t="s">
        <v>169</v>
      </c>
      <c r="B5" s="36" t="n">
        <v>130</v>
      </c>
      <c r="C5" s="36" t="n">
        <v>150</v>
      </c>
      <c r="D5" s="36" t="n">
        <v>175</v>
      </c>
      <c r="E5" s="36" t="n">
        <v>195</v>
      </c>
      <c r="F5" s="36" t="n">
        <v>225</v>
      </c>
    </row>
    <row r="6" customFormat="false" ht="15" hidden="false" customHeight="false" outlineLevel="0" collapsed="false">
      <c r="A6" s="37" t="n">
        <v>250</v>
      </c>
      <c r="B6" s="23" t="n">
        <f aca="false">$A6*((B$5+Inputs!$B$7)*(1-Inputs!$B$8)-Inputs!$B$20*(Inputs!$B$21/Inputs!$B$29*Inputs!$B$27*(1+Inputs!$B$28)/60)-'Unit Economics'!$B$36)-'Unit Economics'!$B$38</f>
        <v>-30316.6666666667</v>
      </c>
      <c r="C6" s="23" t="n">
        <f aca="false">$A6*((C$5+Inputs!$B$7)*(1-Inputs!$B$8)-Inputs!$B$20*(Inputs!$B$21/Inputs!$B$29*Inputs!$B$27*(1+Inputs!$B$28)/60)-'Unit Economics'!$B$36)-'Unit Economics'!$B$38</f>
        <v>-25466.6666666667</v>
      </c>
      <c r="D6" s="23" t="n">
        <f aca="false">$A6*((D$5+Inputs!$B$7)*(1-Inputs!$B$8)-Inputs!$B$20*(Inputs!$B$21/Inputs!$B$29*Inputs!$B$27*(1+Inputs!$B$28)/60)-'Unit Economics'!$B$36)-'Unit Economics'!$B$38</f>
        <v>-19404.1666666667</v>
      </c>
      <c r="E6" s="23" t="n">
        <f aca="false">$A6*((E$5+Inputs!$B$7)*(1-Inputs!$B$8)-Inputs!$B$20*(Inputs!$B$21/Inputs!$B$29*Inputs!$B$27*(1+Inputs!$B$28)/60)-'Unit Economics'!$B$36)-'Unit Economics'!$B$38</f>
        <v>-14554.1666666667</v>
      </c>
      <c r="F6" s="23" t="n">
        <f aca="false">$A6*((F$5+Inputs!$B$7)*(1-Inputs!$B$8)-Inputs!$B$20*(Inputs!$B$21/Inputs!$B$29*Inputs!$B$27*(1+Inputs!$B$28)/60)-'Unit Economics'!$B$36)-'Unit Economics'!$B$38</f>
        <v>-7279.16666666666</v>
      </c>
    </row>
    <row r="7" customFormat="false" ht="15" hidden="false" customHeight="false" outlineLevel="0" collapsed="false">
      <c r="A7" s="37" t="n">
        <v>300</v>
      </c>
      <c r="B7" s="23" t="n">
        <f aca="false">$A7*((B$5+Inputs!$B$7)*(1-Inputs!$B$8)-Inputs!$B$20*(Inputs!$B$21/Inputs!$B$29*Inputs!$B$27*(1+Inputs!$B$28)/60)-'Unit Economics'!$B$36)-'Unit Economics'!$B$38</f>
        <v>-26090.1666666667</v>
      </c>
      <c r="C7" s="23" t="n">
        <f aca="false">$A7*((C$5+Inputs!$B$7)*(1-Inputs!$B$8)-Inputs!$B$20*(Inputs!$B$21/Inputs!$B$29*Inputs!$B$27*(1+Inputs!$B$28)/60)-'Unit Economics'!$B$36)-'Unit Economics'!$B$38</f>
        <v>-20270.1666666667</v>
      </c>
      <c r="D7" s="23" t="n">
        <f aca="false">$A7*((D$5+Inputs!$B$7)*(1-Inputs!$B$8)-Inputs!$B$20*(Inputs!$B$21/Inputs!$B$29*Inputs!$B$27*(1+Inputs!$B$28)/60)-'Unit Economics'!$B$36)-'Unit Economics'!$B$38</f>
        <v>-12995.1666666667</v>
      </c>
      <c r="E7" s="23" t="n">
        <f aca="false">$A7*((E$5+Inputs!$B$7)*(1-Inputs!$B$8)-Inputs!$B$20*(Inputs!$B$21/Inputs!$B$29*Inputs!$B$27*(1+Inputs!$B$28)/60)-'Unit Economics'!$B$36)-'Unit Economics'!$B$38</f>
        <v>-7175.16666666667</v>
      </c>
      <c r="F7" s="23" t="n">
        <f aca="false">$A7*((F$5+Inputs!$B$7)*(1-Inputs!$B$8)-Inputs!$B$20*(Inputs!$B$21/Inputs!$B$29*Inputs!$B$27*(1+Inputs!$B$28)/60)-'Unit Economics'!$B$36)-'Unit Economics'!$B$38</f>
        <v>1554.83333333334</v>
      </c>
    </row>
    <row r="8" customFormat="false" ht="15" hidden="false" customHeight="false" outlineLevel="0" collapsed="false">
      <c r="A8" s="37" t="n">
        <v>350</v>
      </c>
      <c r="B8" s="23" t="n">
        <f aca="false">$A8*((B$5+Inputs!$B$7)*(1-Inputs!$B$8)-Inputs!$B$20*(Inputs!$B$21/Inputs!$B$29*Inputs!$B$27*(1+Inputs!$B$28)/60)-'Unit Economics'!$B$36)-'Unit Economics'!$B$38</f>
        <v>-21863.6666666667</v>
      </c>
      <c r="C8" s="23" t="n">
        <f aca="false">$A8*((C$5+Inputs!$B$7)*(1-Inputs!$B$8)-Inputs!$B$20*(Inputs!$B$21/Inputs!$B$29*Inputs!$B$27*(1+Inputs!$B$28)/60)-'Unit Economics'!$B$36)-'Unit Economics'!$B$38</f>
        <v>-15073.6666666667</v>
      </c>
      <c r="D8" s="23" t="n">
        <f aca="false">$A8*((D$5+Inputs!$B$7)*(1-Inputs!$B$8)-Inputs!$B$20*(Inputs!$B$21/Inputs!$B$29*Inputs!$B$27*(1+Inputs!$B$28)/60)-'Unit Economics'!$B$36)-'Unit Economics'!$B$38</f>
        <v>-6586.16666666666</v>
      </c>
      <c r="E8" s="23" t="n">
        <f aca="false">$A8*((E$5+Inputs!$B$7)*(1-Inputs!$B$8)-Inputs!$B$20*(Inputs!$B$21/Inputs!$B$29*Inputs!$B$27*(1+Inputs!$B$28)/60)-'Unit Economics'!$B$36)-'Unit Economics'!$B$38</f>
        <v>203.833333333328</v>
      </c>
      <c r="F8" s="23" t="n">
        <f aca="false">$A8*((F$5+Inputs!$B$7)*(1-Inputs!$B$8)-Inputs!$B$20*(Inputs!$B$21/Inputs!$B$29*Inputs!$B$27*(1+Inputs!$B$28)/60)-'Unit Economics'!$B$36)-'Unit Economics'!$B$38</f>
        <v>10388.8333333333</v>
      </c>
    </row>
    <row r="9" customFormat="false" ht="15" hidden="false" customHeight="false" outlineLevel="0" collapsed="false">
      <c r="A9" s="37" t="n">
        <v>400</v>
      </c>
      <c r="B9" s="23" t="n">
        <f aca="false">$A9*((B$5+Inputs!$B$7)*(1-Inputs!$B$8)-Inputs!$B$20*(Inputs!$B$21/Inputs!$B$29*Inputs!$B$27*(1+Inputs!$B$28)/60)-'Unit Economics'!$B$36)-'Unit Economics'!$B$38</f>
        <v>-17637.1666666667</v>
      </c>
      <c r="C9" s="23" t="n">
        <f aca="false">$A9*((C$5+Inputs!$B$7)*(1-Inputs!$B$8)-Inputs!$B$20*(Inputs!$B$21/Inputs!$B$29*Inputs!$B$27*(1+Inputs!$B$28)/60)-'Unit Economics'!$B$36)-'Unit Economics'!$B$38</f>
        <v>-9877.16666666666</v>
      </c>
      <c r="D9" s="23" t="n">
        <f aca="false">$A9*((D$5+Inputs!$B$7)*(1-Inputs!$B$8)-Inputs!$B$20*(Inputs!$B$21/Inputs!$B$29*Inputs!$B$27*(1+Inputs!$B$28)/60)-'Unit Economics'!$B$36)-'Unit Economics'!$B$38</f>
        <v>-177.166666666664</v>
      </c>
      <c r="E9" s="23" t="n">
        <f aca="false">$A9*((E$5+Inputs!$B$7)*(1-Inputs!$B$8)-Inputs!$B$20*(Inputs!$B$21/Inputs!$B$29*Inputs!$B$27*(1+Inputs!$B$28)/60)-'Unit Economics'!$B$36)-'Unit Economics'!$B$38</f>
        <v>7582.83333333333</v>
      </c>
      <c r="F9" s="23" t="n">
        <f aca="false">$A9*((F$5+Inputs!$B$7)*(1-Inputs!$B$8)-Inputs!$B$20*(Inputs!$B$21/Inputs!$B$29*Inputs!$B$27*(1+Inputs!$B$28)/60)-'Unit Economics'!$B$36)-'Unit Economics'!$B$38</f>
        <v>19222.8333333333</v>
      </c>
    </row>
    <row r="10" customFormat="false" ht="15" hidden="false" customHeight="false" outlineLevel="0" collapsed="false">
      <c r="A10" s="37" t="n">
        <v>450</v>
      </c>
      <c r="B10" s="23" t="n">
        <f aca="false">$A10*((B$5+Inputs!$B$7)*(1-Inputs!$B$8)-Inputs!$B$20*(Inputs!$B$21/Inputs!$B$29*Inputs!$B$27*(1+Inputs!$B$28)/60)-'Unit Economics'!$B$36)-'Unit Economics'!$B$38</f>
        <v>-13410.6666666667</v>
      </c>
      <c r="C10" s="23" t="n">
        <f aca="false">$A10*((C$5+Inputs!$B$7)*(1-Inputs!$B$8)-Inputs!$B$20*(Inputs!$B$21/Inputs!$B$29*Inputs!$B$27*(1+Inputs!$B$28)/60)-'Unit Economics'!$B$36)-'Unit Economics'!$B$38</f>
        <v>-4680.66666666666</v>
      </c>
      <c r="D10" s="23" t="n">
        <f aca="false">$A10*((D$5+Inputs!$B$7)*(1-Inputs!$B$8)-Inputs!$B$20*(Inputs!$B$21/Inputs!$B$29*Inputs!$B$27*(1+Inputs!$B$28)/60)-'Unit Economics'!$B$36)-'Unit Economics'!$B$38</f>
        <v>6231.83333333334</v>
      </c>
      <c r="E10" s="23" t="n">
        <f aca="false">$A10*((E$5+Inputs!$B$7)*(1-Inputs!$B$8)-Inputs!$B$20*(Inputs!$B$21/Inputs!$B$29*Inputs!$B$27*(1+Inputs!$B$28)/60)-'Unit Economics'!$B$36)-'Unit Economics'!$B$38</f>
        <v>14961.8333333333</v>
      </c>
      <c r="F10" s="23" t="n">
        <f aca="false">$A10*((F$5+Inputs!$B$7)*(1-Inputs!$B$8)-Inputs!$B$20*(Inputs!$B$21/Inputs!$B$29*Inputs!$B$27*(1+Inputs!$B$28)/60)-'Unit Economics'!$B$36)-'Unit Economics'!$B$38</f>
        <v>28056.8333333333</v>
      </c>
    </row>
    <row r="11" customFormat="false" ht="15" hidden="false" customHeight="false" outlineLevel="0" collapsed="false">
      <c r="A11" s="37" t="n">
        <v>500</v>
      </c>
      <c r="B11" s="23" t="n">
        <f aca="false">$A11*((B$5+Inputs!$B$7)*(1-Inputs!$B$8)-Inputs!$B$20*(Inputs!$B$21/Inputs!$B$29*Inputs!$B$27*(1+Inputs!$B$28)/60)-'Unit Economics'!$B$36)-'Unit Economics'!$B$38</f>
        <v>-9184.16666666666</v>
      </c>
      <c r="C11" s="23" t="n">
        <f aca="false">$A11*((C$5+Inputs!$B$7)*(1-Inputs!$B$8)-Inputs!$B$20*(Inputs!$B$21/Inputs!$B$29*Inputs!$B$27*(1+Inputs!$B$28)/60)-'Unit Economics'!$B$36)-'Unit Economics'!$B$38</f>
        <v>515.833333333329</v>
      </c>
      <c r="D11" s="23" t="n">
        <f aca="false">$A11*((D$5+Inputs!$B$7)*(1-Inputs!$B$8)-Inputs!$B$20*(Inputs!$B$21/Inputs!$B$29*Inputs!$B$27*(1+Inputs!$B$28)/60)-'Unit Economics'!$B$36)-'Unit Economics'!$B$38</f>
        <v>12640.8333333333</v>
      </c>
      <c r="E11" s="23" t="n">
        <f aca="false">$A11*((E$5+Inputs!$B$7)*(1-Inputs!$B$8)-Inputs!$B$20*(Inputs!$B$21/Inputs!$B$29*Inputs!$B$27*(1+Inputs!$B$28)/60)-'Unit Economics'!$B$36)-'Unit Economics'!$B$38</f>
        <v>22340.8333333333</v>
      </c>
      <c r="F11" s="23" t="n">
        <f aca="false">$A11*((F$5+Inputs!$B$7)*(1-Inputs!$B$8)-Inputs!$B$20*(Inputs!$B$21/Inputs!$B$29*Inputs!$B$27*(1+Inputs!$B$28)/60)-'Unit Economics'!$B$36)-'Unit Economics'!$B$38</f>
        <v>36890.8333333333</v>
      </c>
    </row>
    <row r="12" customFormat="false" ht="15" hidden="false" customHeight="false" outlineLevel="0" collapsed="false">
      <c r="A12" s="37" t="n">
        <v>550</v>
      </c>
      <c r="B12" s="23" t="n">
        <f aca="false">$A12*((B$5+Inputs!$B$7)*(1-Inputs!$B$8)-Inputs!$B$20*(Inputs!$B$21/Inputs!$B$29*Inputs!$B$27*(1+Inputs!$B$28)/60)-'Unit Economics'!$B$36)-'Unit Economics'!$B$38</f>
        <v>-4957.66666666666</v>
      </c>
      <c r="C12" s="23" t="n">
        <f aca="false">$A12*((C$5+Inputs!$B$7)*(1-Inputs!$B$8)-Inputs!$B$20*(Inputs!$B$21/Inputs!$B$29*Inputs!$B$27*(1+Inputs!$B$28)/60)-'Unit Economics'!$B$36)-'Unit Economics'!$B$38</f>
        <v>5712.33333333333</v>
      </c>
      <c r="D12" s="23" t="n">
        <f aca="false">$A12*((D$5+Inputs!$B$7)*(1-Inputs!$B$8)-Inputs!$B$20*(Inputs!$B$21/Inputs!$B$29*Inputs!$B$27*(1+Inputs!$B$28)/60)-'Unit Economics'!$B$36)-'Unit Economics'!$B$38</f>
        <v>19049.8333333333</v>
      </c>
      <c r="E12" s="23" t="n">
        <f aca="false">$A12*((E$5+Inputs!$B$7)*(1-Inputs!$B$8)-Inputs!$B$20*(Inputs!$B$21/Inputs!$B$29*Inputs!$B$27*(1+Inputs!$B$28)/60)-'Unit Economics'!$B$36)-'Unit Economics'!$B$38</f>
        <v>29719.8333333333</v>
      </c>
      <c r="F12" s="23" t="n">
        <f aca="false">$A12*((F$5+Inputs!$B$7)*(1-Inputs!$B$8)-Inputs!$B$20*(Inputs!$B$21/Inputs!$B$29*Inputs!$B$27*(1+Inputs!$B$28)/60)-'Unit Economics'!$B$36)-'Unit Economics'!$B$38</f>
        <v>45724.8333333333</v>
      </c>
    </row>
    <row r="13" customFormat="false" ht="15" hidden="false" customHeight="false" outlineLevel="0" collapsed="false">
      <c r="A13" s="37" t="n">
        <v>600</v>
      </c>
      <c r="B13" s="23" t="n">
        <f aca="false">$A13*((B$5+Inputs!$B$7)*(1-Inputs!$B$8)-Inputs!$B$20*(Inputs!$B$21/Inputs!$B$29*Inputs!$B$27*(1+Inputs!$B$28)/60)-'Unit Economics'!$B$36)-'Unit Economics'!$B$38</f>
        <v>-731.166666666657</v>
      </c>
      <c r="C13" s="23" t="n">
        <f aca="false">$A13*((C$5+Inputs!$B$7)*(1-Inputs!$B$8)-Inputs!$B$20*(Inputs!$B$21/Inputs!$B$29*Inputs!$B$27*(1+Inputs!$B$28)/60)-'Unit Economics'!$B$36)-'Unit Economics'!$B$38</f>
        <v>10908.8333333333</v>
      </c>
      <c r="D13" s="23" t="n">
        <f aca="false">$A13*((D$5+Inputs!$B$7)*(1-Inputs!$B$8)-Inputs!$B$20*(Inputs!$B$21/Inputs!$B$29*Inputs!$B$27*(1+Inputs!$B$28)/60)-'Unit Economics'!$B$36)-'Unit Economics'!$B$38</f>
        <v>25458.8333333333</v>
      </c>
      <c r="E13" s="23" t="n">
        <f aca="false">$A13*((E$5+Inputs!$B$7)*(1-Inputs!$B$8)-Inputs!$B$20*(Inputs!$B$21/Inputs!$B$29*Inputs!$B$27*(1+Inputs!$B$28)/60)-'Unit Economics'!$B$36)-'Unit Economics'!$B$38</f>
        <v>37098.8333333333</v>
      </c>
      <c r="F13" s="23" t="n">
        <f aca="false">$A13*((F$5+Inputs!$B$7)*(1-Inputs!$B$8)-Inputs!$B$20*(Inputs!$B$21/Inputs!$B$29*Inputs!$B$27*(1+Inputs!$B$28)/60)-'Unit Economics'!$B$36)-'Unit Economics'!$B$38</f>
        <v>54558.8333333333</v>
      </c>
    </row>
    <row r="14" customFormat="false" ht="15" hidden="false" customHeight="false" outlineLevel="0" collapsed="false">
      <c r="A14" s="37" t="n">
        <v>700</v>
      </c>
      <c r="B14" s="23" t="n">
        <f aca="false">$A14*((B$5+Inputs!$B$7)*(1-Inputs!$B$8)-Inputs!$B$20*(Inputs!$B$21/Inputs!$B$29*Inputs!$B$27*(1+Inputs!$B$28)/60)-'Unit Economics'!$B$36)-'Unit Economics'!$B$38</f>
        <v>7721.83333333334</v>
      </c>
      <c r="C14" s="23" t="n">
        <f aca="false">$A14*((C$5+Inputs!$B$7)*(1-Inputs!$B$8)-Inputs!$B$20*(Inputs!$B$21/Inputs!$B$29*Inputs!$B$27*(1+Inputs!$B$28)/60)-'Unit Economics'!$B$36)-'Unit Economics'!$B$38</f>
        <v>21301.8333333333</v>
      </c>
      <c r="D14" s="23" t="n">
        <f aca="false">$A14*((D$5+Inputs!$B$7)*(1-Inputs!$B$8)-Inputs!$B$20*(Inputs!$B$21/Inputs!$B$29*Inputs!$B$27*(1+Inputs!$B$28)/60)-'Unit Economics'!$B$36)-'Unit Economics'!$B$38</f>
        <v>38276.8333333333</v>
      </c>
      <c r="E14" s="23" t="n">
        <f aca="false">$A14*((E$5+Inputs!$B$7)*(1-Inputs!$B$8)-Inputs!$B$20*(Inputs!$B$21/Inputs!$B$29*Inputs!$B$27*(1+Inputs!$B$28)/60)-'Unit Economics'!$B$36)-'Unit Economics'!$B$38</f>
        <v>51856.8333333333</v>
      </c>
      <c r="F14" s="23" t="n">
        <f aca="false">$A14*((F$5+Inputs!$B$7)*(1-Inputs!$B$8)-Inputs!$B$20*(Inputs!$B$21/Inputs!$B$29*Inputs!$B$27*(1+Inputs!$B$28)/60)-'Unit Economics'!$B$36)-'Unit Economics'!$B$38</f>
        <v>72226.8333333333</v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3" t="s">
        <v>170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8" t="s">
        <v>171</v>
      </c>
      <c r="B18" s="36" t="n">
        <v>130</v>
      </c>
      <c r="C18" s="36" t="n">
        <v>150</v>
      </c>
      <c r="D18" s="36" t="n">
        <v>175</v>
      </c>
      <c r="E18" s="36" t="n">
        <v>195</v>
      </c>
      <c r="F18" s="36" t="n">
        <v>225</v>
      </c>
    </row>
    <row r="19" customFormat="false" ht="15" hidden="false" customHeight="false" outlineLevel="0" collapsed="false">
      <c r="A19" s="38" t="n">
        <v>0</v>
      </c>
      <c r="B19" s="23" t="n">
        <f aca="false">Inputs!$B$9*((B$18+Inputs!$B$7)*(1-Inputs!$B$8)-$A19*(Inputs!$B$21/Inputs!$B$29*Inputs!$B$27*(1+Inputs!$B$28)/60)-'Unit Economics'!$B$36)-'Unit Economics'!$B$38</f>
        <v>6254.33333333334</v>
      </c>
      <c r="C19" s="23" t="n">
        <f aca="false">Inputs!$B$9*((C$18+Inputs!$B$7)*(1-Inputs!$B$8)-$A19*(Inputs!$B$21/Inputs!$B$29*Inputs!$B$27*(1+Inputs!$B$28)/60)-'Unit Economics'!$B$36)-'Unit Economics'!$B$38</f>
        <v>14984.3333333333</v>
      </c>
      <c r="D19" s="23" t="n">
        <f aca="false">Inputs!$B$9*((D$18+Inputs!$B$7)*(1-Inputs!$B$8)-$A19*(Inputs!$B$21/Inputs!$B$29*Inputs!$B$27*(1+Inputs!$B$28)/60)-'Unit Economics'!$B$36)-'Unit Economics'!$B$38</f>
        <v>25896.8333333333</v>
      </c>
      <c r="E19" s="23" t="n">
        <f aca="false">Inputs!$B$9*((E$18+Inputs!$B$7)*(1-Inputs!$B$8)-$A19*(Inputs!$B$21/Inputs!$B$29*Inputs!$B$27*(1+Inputs!$B$28)/60)-'Unit Economics'!$B$36)-'Unit Economics'!$B$38</f>
        <v>34626.8333333333</v>
      </c>
      <c r="F19" s="23" t="n">
        <f aca="false">Inputs!$B$9*((F$18+Inputs!$B$7)*(1-Inputs!$B$8)-$A19*(Inputs!$B$21/Inputs!$B$29*Inputs!$B$27*(1+Inputs!$B$28)/60)-'Unit Economics'!$B$36)-'Unit Economics'!$B$38</f>
        <v>47721.8333333333</v>
      </c>
    </row>
    <row r="20" customFormat="false" ht="15" hidden="false" customHeight="false" outlineLevel="0" collapsed="false">
      <c r="A20" s="38" t="n">
        <v>30</v>
      </c>
      <c r="B20" s="23" t="n">
        <f aca="false">Inputs!$B$9*((B$18+Inputs!$B$7)*(1-Inputs!$B$8)-$A20*(Inputs!$B$21/Inputs!$B$29*Inputs!$B$27*(1+Inputs!$B$28)/60)-'Unit Economics'!$B$36)-'Unit Economics'!$B$38</f>
        <v>-3578.16666666666</v>
      </c>
      <c r="C20" s="23" t="n">
        <f aca="false">Inputs!$B$9*((C$18+Inputs!$B$7)*(1-Inputs!$B$8)-$A20*(Inputs!$B$21/Inputs!$B$29*Inputs!$B$27*(1+Inputs!$B$28)/60)-'Unit Economics'!$B$36)-'Unit Economics'!$B$38</f>
        <v>5151.83333333333</v>
      </c>
      <c r="D20" s="23" t="n">
        <f aca="false">Inputs!$B$9*((D$18+Inputs!$B$7)*(1-Inputs!$B$8)-$A20*(Inputs!$B$21/Inputs!$B$29*Inputs!$B$27*(1+Inputs!$B$28)/60)-'Unit Economics'!$B$36)-'Unit Economics'!$B$38</f>
        <v>16064.3333333333</v>
      </c>
      <c r="E20" s="23" t="n">
        <f aca="false">Inputs!$B$9*((E$18+Inputs!$B$7)*(1-Inputs!$B$8)-$A20*(Inputs!$B$21/Inputs!$B$29*Inputs!$B$27*(1+Inputs!$B$28)/60)-'Unit Economics'!$B$36)-'Unit Economics'!$B$38</f>
        <v>24794.3333333333</v>
      </c>
      <c r="F20" s="23" t="n">
        <f aca="false">Inputs!$B$9*((F$18+Inputs!$B$7)*(1-Inputs!$B$8)-$A20*(Inputs!$B$21/Inputs!$B$29*Inputs!$B$27*(1+Inputs!$B$28)/60)-'Unit Economics'!$B$36)-'Unit Economics'!$B$38</f>
        <v>37889.3333333333</v>
      </c>
    </row>
    <row r="21" customFormat="false" ht="15" hidden="false" customHeight="false" outlineLevel="0" collapsed="false">
      <c r="A21" s="38" t="n">
        <v>45</v>
      </c>
      <c r="B21" s="23" t="n">
        <f aca="false">Inputs!$B$9*((B$18+Inputs!$B$7)*(1-Inputs!$B$8)-$A21*(Inputs!$B$21/Inputs!$B$29*Inputs!$B$27*(1+Inputs!$B$28)/60)-'Unit Economics'!$B$36)-'Unit Economics'!$B$38</f>
        <v>-8494.41666666666</v>
      </c>
      <c r="C21" s="23" t="n">
        <f aca="false">Inputs!$B$9*((C$18+Inputs!$B$7)*(1-Inputs!$B$8)-$A21*(Inputs!$B$21/Inputs!$B$29*Inputs!$B$27*(1+Inputs!$B$28)/60)-'Unit Economics'!$B$36)-'Unit Economics'!$B$38</f>
        <v>235.583333333321</v>
      </c>
      <c r="D21" s="23" t="n">
        <f aca="false">Inputs!$B$9*((D$18+Inputs!$B$7)*(1-Inputs!$B$8)-$A21*(Inputs!$B$21/Inputs!$B$29*Inputs!$B$27*(1+Inputs!$B$28)/60)-'Unit Economics'!$B$36)-'Unit Economics'!$B$38</f>
        <v>11148.0833333333</v>
      </c>
      <c r="E21" s="23" t="n">
        <f aca="false">Inputs!$B$9*((E$18+Inputs!$B$7)*(1-Inputs!$B$8)-$A21*(Inputs!$B$21/Inputs!$B$29*Inputs!$B$27*(1+Inputs!$B$28)/60)-'Unit Economics'!$B$36)-'Unit Economics'!$B$38</f>
        <v>19878.0833333333</v>
      </c>
      <c r="F21" s="23" t="n">
        <f aca="false">Inputs!$B$9*((F$18+Inputs!$B$7)*(1-Inputs!$B$8)-$A21*(Inputs!$B$21/Inputs!$B$29*Inputs!$B$27*(1+Inputs!$B$28)/60)-'Unit Economics'!$B$36)-'Unit Economics'!$B$38</f>
        <v>32973.0833333333</v>
      </c>
    </row>
    <row r="22" customFormat="false" ht="15" hidden="false" customHeight="false" outlineLevel="0" collapsed="false">
      <c r="A22" s="38" t="n">
        <v>60</v>
      </c>
      <c r="B22" s="23" t="n">
        <f aca="false">Inputs!$B$9*((B$18+Inputs!$B$7)*(1-Inputs!$B$8)-$A22*(Inputs!$B$21/Inputs!$B$29*Inputs!$B$27*(1+Inputs!$B$28)/60)-'Unit Economics'!$B$36)-'Unit Economics'!$B$38</f>
        <v>-13410.6666666667</v>
      </c>
      <c r="C22" s="23" t="n">
        <f aca="false">Inputs!$B$9*((C$18+Inputs!$B$7)*(1-Inputs!$B$8)-$A22*(Inputs!$B$21/Inputs!$B$29*Inputs!$B$27*(1+Inputs!$B$28)/60)-'Unit Economics'!$B$36)-'Unit Economics'!$B$38</f>
        <v>-4680.66666666666</v>
      </c>
      <c r="D22" s="23" t="n">
        <f aca="false">Inputs!$B$9*((D$18+Inputs!$B$7)*(1-Inputs!$B$8)-$A22*(Inputs!$B$21/Inputs!$B$29*Inputs!$B$27*(1+Inputs!$B$28)/60)-'Unit Economics'!$B$36)-'Unit Economics'!$B$38</f>
        <v>6231.83333333334</v>
      </c>
      <c r="E22" s="23" t="n">
        <f aca="false">Inputs!$B$9*((E$18+Inputs!$B$7)*(1-Inputs!$B$8)-$A22*(Inputs!$B$21/Inputs!$B$29*Inputs!$B$27*(1+Inputs!$B$28)/60)-'Unit Economics'!$B$36)-'Unit Economics'!$B$38</f>
        <v>14961.8333333333</v>
      </c>
      <c r="F22" s="23" t="n">
        <f aca="false">Inputs!$B$9*((F$18+Inputs!$B$7)*(1-Inputs!$B$8)-$A22*(Inputs!$B$21/Inputs!$B$29*Inputs!$B$27*(1+Inputs!$B$28)/60)-'Unit Economics'!$B$36)-'Unit Economics'!$B$38</f>
        <v>28056.8333333333</v>
      </c>
    </row>
    <row r="23" customFormat="false" ht="15" hidden="false" customHeight="false" outlineLevel="0" collapsed="false">
      <c r="A23" s="38" t="n">
        <v>90</v>
      </c>
      <c r="B23" s="23" t="n">
        <f aca="false">Inputs!$B$9*((B$18+Inputs!$B$7)*(1-Inputs!$B$8)-$A23*(Inputs!$B$21/Inputs!$B$29*Inputs!$B$27*(1+Inputs!$B$28)/60)-'Unit Economics'!$B$36)-'Unit Economics'!$B$38</f>
        <v>-23243.1666666667</v>
      </c>
      <c r="C23" s="23" t="n">
        <f aca="false">Inputs!$B$9*((C$18+Inputs!$B$7)*(1-Inputs!$B$8)-$A23*(Inputs!$B$21/Inputs!$B$29*Inputs!$B$27*(1+Inputs!$B$28)/60)-'Unit Economics'!$B$36)-'Unit Economics'!$B$38</f>
        <v>-14513.1666666667</v>
      </c>
      <c r="D23" s="23" t="n">
        <f aca="false">Inputs!$B$9*((D$18+Inputs!$B$7)*(1-Inputs!$B$8)-$A23*(Inputs!$B$21/Inputs!$B$29*Inputs!$B$27*(1+Inputs!$B$28)/60)-'Unit Economics'!$B$36)-'Unit Economics'!$B$38</f>
        <v>-3600.66666666667</v>
      </c>
      <c r="E23" s="23" t="n">
        <f aca="false">Inputs!$B$9*((E$18+Inputs!$B$7)*(1-Inputs!$B$8)-$A23*(Inputs!$B$21/Inputs!$B$29*Inputs!$B$27*(1+Inputs!$B$28)/60)-'Unit Economics'!$B$36)-'Unit Economics'!$B$38</f>
        <v>5129.33333333332</v>
      </c>
      <c r="F23" s="23" t="n">
        <f aca="false">Inputs!$B$9*((F$18+Inputs!$B$7)*(1-Inputs!$B$8)-$A23*(Inputs!$B$21/Inputs!$B$29*Inputs!$B$27*(1+Inputs!$B$28)/60)-'Unit Economics'!$B$36)-'Unit Economics'!$B$38</f>
        <v>18224.3333333333</v>
      </c>
    </row>
  </sheetData>
  <conditionalFormatting sqref="B6:F14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19:F23">
    <cfRule type="cellIs" priority="4" operator="greaterThanOrEqual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172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12" t="s">
        <v>173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8"/>
      <c r="B4" s="8" t="s">
        <v>97</v>
      </c>
      <c r="C4" s="8" t="s">
        <v>98</v>
      </c>
      <c r="D4" s="8" t="s">
        <v>99</v>
      </c>
      <c r="E4" s="8" t="s">
        <v>100</v>
      </c>
      <c r="F4" s="8" t="s">
        <v>101</v>
      </c>
    </row>
    <row r="5" customFormat="false" ht="15" hidden="false" customHeight="false" outlineLevel="0" collapsed="false">
      <c r="A5" s="2" t="s">
        <v>174</v>
      </c>
      <c r="B5" s="22" t="n">
        <f aca="false">Inputs!B65</f>
        <v>1</v>
      </c>
      <c r="C5" s="22" t="n">
        <f aca="false">Inputs!C65</f>
        <v>1</v>
      </c>
      <c r="D5" s="22" t="n">
        <f aca="false">Inputs!D65</f>
        <v>2</v>
      </c>
      <c r="E5" s="22" t="n">
        <f aca="false">Inputs!E65</f>
        <v>4</v>
      </c>
      <c r="F5" s="22" t="n">
        <f aca="false">Inputs!F65</f>
        <v>6</v>
      </c>
    </row>
    <row r="6" customFormat="false" ht="15" hidden="false" customHeight="false" outlineLevel="0" collapsed="false">
      <c r="A6" s="2" t="s">
        <v>175</v>
      </c>
      <c r="B6" s="32" t="n">
        <f aca="false">0</f>
        <v>0</v>
      </c>
      <c r="C6" s="32" t="n">
        <f aca="false">B5</f>
        <v>1</v>
      </c>
      <c r="D6" s="32" t="n">
        <f aca="false">C5</f>
        <v>1</v>
      </c>
      <c r="E6" s="32" t="n">
        <f aca="false">D5</f>
        <v>2</v>
      </c>
      <c r="F6" s="32" t="n">
        <f aca="false">E5</f>
        <v>4</v>
      </c>
    </row>
    <row r="7" customFormat="false" ht="15" hidden="false" customHeight="false" outlineLevel="0" collapsed="false">
      <c r="A7" s="2" t="s">
        <v>176</v>
      </c>
      <c r="B7" s="32" t="n">
        <f aca="false">0</f>
        <v>0</v>
      </c>
      <c r="C7" s="32" t="n">
        <f aca="false">B7+B6</f>
        <v>0</v>
      </c>
      <c r="D7" s="32" t="n">
        <f aca="false">C7+C6</f>
        <v>1</v>
      </c>
      <c r="E7" s="32" t="n">
        <f aca="false">D7+D6</f>
        <v>2</v>
      </c>
      <c r="F7" s="32" t="n">
        <f aca="false">E7+E6</f>
        <v>4</v>
      </c>
    </row>
    <row r="8" customFormat="false" ht="15" hidden="false" customHeight="false" outlineLevel="0" collapsed="false">
      <c r="A8" s="2" t="s">
        <v>177</v>
      </c>
      <c r="B8" s="32" t="n">
        <f aca="false">B5+B6+B7</f>
        <v>1</v>
      </c>
      <c r="C8" s="32" t="n">
        <f aca="false">C5+C6+C7</f>
        <v>2</v>
      </c>
      <c r="D8" s="32" t="n">
        <f aca="false">D5+D6+D7</f>
        <v>4</v>
      </c>
      <c r="E8" s="32" t="n">
        <f aca="false">E5+E6+E7</f>
        <v>8</v>
      </c>
      <c r="F8" s="32" t="n">
        <f aca="false">F5+F6+F7</f>
        <v>14</v>
      </c>
    </row>
    <row r="9" customFormat="false" ht="15" hidden="false" customHeight="false" outlineLevel="0" collapsed="false">
      <c r="A9" s="2" t="s">
        <v>110</v>
      </c>
      <c r="B9" s="23" t="n">
        <f aca="false">B5*SUM('36-Month Ramp'!C6:N6)+B6*SUM('36-Month Ramp'!O6:Z6)+B7*SUM('36-Month Ramp'!AA6:AL6)</f>
        <v>542184.974086761</v>
      </c>
      <c r="C9" s="23" t="n">
        <f aca="false">C5*SUM('36-Month Ramp'!C6:N6)+C6*SUM('36-Month Ramp'!O6:Z6)+C7*SUM('36-Month Ramp'!AA6:AL6)</f>
        <v>1432947.57512329</v>
      </c>
      <c r="D9" s="23" t="n">
        <f aca="false">D5*SUM('36-Month Ramp'!C6:N6)+D6*SUM('36-Month Ramp'!O6:Z6)+D7*SUM('36-Month Ramp'!AA6:AL6)</f>
        <v>2866132.54921005</v>
      </c>
      <c r="E9" s="23" t="n">
        <f aca="false">E5*SUM('36-Month Ramp'!C6:N6)+E6*SUM('36-Month Ramp'!O6:Z6)+E7*SUM('36-Month Ramp'!AA6:AL6)</f>
        <v>5732265.0984201</v>
      </c>
      <c r="F9" s="23" t="n">
        <f aca="false">F5*SUM('36-Month Ramp'!C6:N6)+F6*SUM('36-Month Ramp'!O6:Z6)+F7*SUM('36-Month Ramp'!AA6:AL6)</f>
        <v>10380160.2486667</v>
      </c>
    </row>
    <row r="10" customFormat="false" ht="15" hidden="false" customHeight="false" outlineLevel="0" collapsed="false">
      <c r="A10" s="2" t="s">
        <v>178</v>
      </c>
      <c r="B10" s="23" t="n">
        <f aca="false">B5*SUM('36-Month Ramp'!C10:N10)+B6*SUM('36-Month Ramp'!O10:Z10)+B7*SUM('36-Month Ramp'!AA10:AL10)</f>
        <v>-275879.185716139</v>
      </c>
      <c r="C10" s="23" t="n">
        <f aca="false">C5*SUM('36-Month Ramp'!C10:N10)+C6*SUM('36-Month Ramp'!O10:Z10)+C7*SUM('36-Month Ramp'!AA10:AL10)</f>
        <v>-332196.718287493</v>
      </c>
      <c r="D10" s="23" t="n">
        <f aca="false">D5*SUM('36-Month Ramp'!C10:N10)+D6*SUM('36-Month Ramp'!O10:Z10)+D7*SUM('36-Month Ramp'!AA10:AL10)</f>
        <v>-664243.904003632</v>
      </c>
      <c r="E10" s="23" t="n">
        <f aca="false">E5*SUM('36-Month Ramp'!C10:N10)+E6*SUM('36-Month Ramp'!O10:Z10)+E7*SUM('36-Month Ramp'!AA10:AL10)</f>
        <v>-1328487.80800726</v>
      </c>
      <c r="F10" s="23" t="n">
        <f aca="false">F5*SUM('36-Month Ramp'!C10:N10)+F6*SUM('36-Month Ramp'!O10:Z10)+F7*SUM('36-Month Ramp'!AA10:AL10)</f>
        <v>-2105217.24458225</v>
      </c>
    </row>
    <row r="11" customFormat="false" ht="15" hidden="false" customHeight="false" outlineLevel="0" collapsed="false">
      <c r="A11" s="2" t="s">
        <v>179</v>
      </c>
      <c r="B11" s="23" t="n">
        <f aca="false">-Inputs!B66</f>
        <v>-150000</v>
      </c>
      <c r="C11" s="23" t="n">
        <f aca="false">-Inputs!C66</f>
        <v>-400000</v>
      </c>
      <c r="D11" s="23" t="n">
        <f aca="false">-Inputs!D66</f>
        <v>-800000</v>
      </c>
      <c r="E11" s="23" t="n">
        <f aca="false">-Inputs!E66</f>
        <v>-1400000</v>
      </c>
      <c r="F11" s="23" t="n">
        <f aca="false">-Inputs!F66</f>
        <v>-2200000</v>
      </c>
    </row>
    <row r="12" customFormat="false" ht="15" hidden="false" customHeight="false" outlineLevel="0" collapsed="false">
      <c r="A12" s="3" t="s">
        <v>180</v>
      </c>
      <c r="B12" s="25" t="n">
        <f aca="false">B10+B11</f>
        <v>-425879.185716139</v>
      </c>
      <c r="C12" s="25" t="n">
        <f aca="false">C10+C11</f>
        <v>-732196.718287493</v>
      </c>
      <c r="D12" s="25" t="n">
        <f aca="false">D10+D11</f>
        <v>-1464243.90400363</v>
      </c>
      <c r="E12" s="25" t="n">
        <f aca="false">E10+E11</f>
        <v>-2728487.80800726</v>
      </c>
      <c r="F12" s="25" t="n">
        <f aca="false">F10+F11</f>
        <v>-4305217.24458225</v>
      </c>
    </row>
    <row r="13" customFormat="false" ht="15" hidden="false" customHeight="false" outlineLevel="0" collapsed="false">
      <c r="A13" s="2" t="s">
        <v>181</v>
      </c>
      <c r="B13" s="23" t="n">
        <f aca="false">-B5*'Unit Economics'!$B$56</f>
        <v>-400000</v>
      </c>
      <c r="C13" s="23" t="n">
        <f aca="false">-C5*'Unit Economics'!$B$56</f>
        <v>-400000</v>
      </c>
      <c r="D13" s="23" t="n">
        <f aca="false">-D5*'Unit Economics'!$B$56</f>
        <v>-800000</v>
      </c>
      <c r="E13" s="23" t="n">
        <f aca="false">-E5*'Unit Economics'!$B$56</f>
        <v>-1600000</v>
      </c>
      <c r="F13" s="23" t="n">
        <f aca="false">-F5*'Unit Economics'!$B$56</f>
        <v>-2400000</v>
      </c>
    </row>
    <row r="14" customFormat="false" ht="15" hidden="false" customHeight="false" outlineLevel="0" collapsed="false">
      <c r="A14" s="2" t="s">
        <v>182</v>
      </c>
      <c r="B14" s="23" t="n">
        <f aca="false">B12+B13</f>
        <v>-825879.185716139</v>
      </c>
      <c r="C14" s="23" t="n">
        <f aca="false">C12+C13</f>
        <v>-1132196.71828749</v>
      </c>
      <c r="D14" s="23" t="n">
        <f aca="false">D12+D13</f>
        <v>-2264243.90400363</v>
      </c>
      <c r="E14" s="23" t="n">
        <f aca="false">E12+E13</f>
        <v>-4328487.80800726</v>
      </c>
      <c r="F14" s="23" t="n">
        <f aca="false">F12+F13</f>
        <v>-6705217.24458225</v>
      </c>
    </row>
    <row r="15" customFormat="false" ht="15" hidden="false" customHeight="false" outlineLevel="0" collapsed="false">
      <c r="A15" s="3" t="s">
        <v>161</v>
      </c>
      <c r="B15" s="25" t="n">
        <f aca="false">B14</f>
        <v>-825879.185716139</v>
      </c>
      <c r="C15" s="25" t="n">
        <f aca="false">B15+C14</f>
        <v>-1958075.90400363</v>
      </c>
      <c r="D15" s="25" t="n">
        <f aca="false">C15+D14</f>
        <v>-4222319.80800726</v>
      </c>
      <c r="E15" s="25" t="n">
        <f aca="false">D15+E14</f>
        <v>-8550807.61601453</v>
      </c>
      <c r="F15" s="25" t="n">
        <f aca="false">E15+F14</f>
        <v>-15256024.8605968</v>
      </c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3" t="s">
        <v>183</v>
      </c>
      <c r="B17" s="39" t="n">
        <f aca="false">-MIN(0,MIN(B15:F15))</f>
        <v>15256024.8605968</v>
      </c>
      <c r="C17" s="7"/>
      <c r="D17" s="7"/>
      <c r="E17" s="7"/>
      <c r="F17" s="7"/>
    </row>
    <row r="18" customFormat="false" ht="15" hidden="false" customHeight="false" outlineLevel="0" collapsed="false">
      <c r="A18" s="12" t="s">
        <v>184</v>
      </c>
      <c r="B18" s="7"/>
      <c r="C18" s="7"/>
      <c r="D18" s="7"/>
      <c r="E18" s="7"/>
      <c r="F18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185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186</v>
      </c>
    </row>
    <row r="4" customFormat="false" ht="15" hidden="false" customHeight="false" outlineLevel="0" collapsed="false">
      <c r="A4" s="2" t="s">
        <v>187</v>
      </c>
    </row>
    <row r="5" customFormat="false" ht="15" hidden="false" customHeight="false" outlineLevel="0" collapsed="false">
      <c r="A5" s="2" t="s">
        <v>188</v>
      </c>
    </row>
    <row r="6" customFormat="false" ht="15" hidden="false" customHeight="false" outlineLevel="0" collapsed="false">
      <c r="A6" s="2" t="s">
        <v>189</v>
      </c>
    </row>
    <row r="7" customFormat="false" ht="15" hidden="false" customHeight="false" outlineLevel="0" collapsed="false">
      <c r="A7" s="2" t="s">
        <v>190</v>
      </c>
    </row>
    <row r="8" customFormat="false" ht="15" hidden="false" customHeight="false" outlineLevel="0" collapsed="false">
      <c r="A8" s="2" t="s">
        <v>191</v>
      </c>
    </row>
    <row r="9" customFormat="false" ht="15" hidden="false" customHeight="false" outlineLevel="0" collapsed="false">
      <c r="A9" s="2" t="s">
        <v>192</v>
      </c>
    </row>
    <row r="10" customFormat="false" ht="15" hidden="false" customHeight="false" outlineLevel="0" collapsed="false">
      <c r="A10" s="2" t="s">
        <v>193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2026-10-10T16:47:36Z</dcterms:created>
  <dc:creator>openpyxl</dc:creator>
  <dc:description/>
  <dc:language>en-US</dc:language>
  <cp:lastModifiedBy/>
  <dcterms:modified xsi:type="dcterms:W3CDTF">2026-10-10T16:47:36Z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